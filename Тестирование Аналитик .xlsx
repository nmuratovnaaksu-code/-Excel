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zia\Downloads\Academica. Data Analytic\Финальный проект\Блок Excel\"/>
    </mc:Choice>
  </mc:AlternateContent>
  <xr:revisionPtr revIDLastSave="0" documentId="13_ncr:1_{9918DC81-E912-4B99-B545-BEEC32F33637}" xr6:coauthVersionLast="47" xr6:coauthVersionMax="47" xr10:uidLastSave="{00000000-0000-0000-0000-000000000000}"/>
  <bookViews>
    <workbookView xWindow="-108" yWindow="-108" windowWidth="23256" windowHeight="13896" tabRatio="851" xr2:uid="{00000000-000D-0000-FFFF-FFFF00000000}"/>
  </bookViews>
  <sheets>
    <sheet name="общая таблица" sheetId="1" r:id="rId1"/>
    <sheet name="Топ 3 за последнюю неделю" sheetId="4" r:id="rId2"/>
    <sheet name="Топ 3 в доле товарооборота" sheetId="3" r:id="rId3"/>
    <sheet name="Понедельная динамика_" sheetId="13" r:id="rId4"/>
    <sheet name="График товарооборота на склад" sheetId="14" r:id="rId5"/>
    <sheet name="Лист2" sheetId="2" r:id="rId6"/>
  </sheets>
  <definedNames>
    <definedName name="_xlnm._FilterDatabase" localSheetId="5" hidden="1">Лист2!$A$1:$E$505</definedName>
    <definedName name="_xlnm._FilterDatabase" localSheetId="0" hidden="1">'общая таблица'!$A$1:$X$505</definedName>
  </definedNames>
  <calcPr calcId="191029"/>
  <pivotCaches>
    <pivotCache cacheId="0" r:id="rId7"/>
    <pivotCache cacheId="139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r3VgOpKj0LI773MeeqSkWfF1GFyRyFpMSmwpz4xgUMs=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16" i="1"/>
  <c r="G216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0" i="1"/>
  <c r="G230" i="1"/>
  <c r="F231" i="1"/>
  <c r="G231" i="1"/>
  <c r="F232" i="1"/>
  <c r="G232" i="1"/>
  <c r="F233" i="1"/>
  <c r="G233" i="1"/>
  <c r="F234" i="1"/>
  <c r="G234" i="1"/>
  <c r="F235" i="1"/>
  <c r="G235" i="1"/>
  <c r="F236" i="1"/>
  <c r="G236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60" i="1"/>
  <c r="G260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7" i="1"/>
  <c r="G297" i="1"/>
  <c r="F298" i="1"/>
  <c r="G298" i="1"/>
  <c r="F299" i="1"/>
  <c r="G299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470" i="1"/>
  <c r="G470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G2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2" i="1"/>
</calcChain>
</file>

<file path=xl/sharedStrings.xml><?xml version="1.0" encoding="utf-8"?>
<sst xmlns="http://schemas.openxmlformats.org/spreadsheetml/2006/main" count="1128" uniqueCount="42">
  <si>
    <t>Дата</t>
  </si>
  <si>
    <t>Территория</t>
  </si>
  <si>
    <t>Товарооборот, шт</t>
  </si>
  <si>
    <t>Товарооборот, руб</t>
  </si>
  <si>
    <t>Количество складов</t>
  </si>
  <si>
    <t>Количество заказов</t>
  </si>
  <si>
    <t>Количество клиентов</t>
  </si>
  <si>
    <t>Товарооборот на склад</t>
  </si>
  <si>
    <t>Неделя</t>
  </si>
  <si>
    <t>Самара</t>
  </si>
  <si>
    <t>Кемерово</t>
  </si>
  <si>
    <t>Екатеринбург</t>
  </si>
  <si>
    <t>Тольятти</t>
  </si>
  <si>
    <t>Нижний Новгород</t>
  </si>
  <si>
    <t>Санкт-Петербург Юг</t>
  </si>
  <si>
    <t>Санкт-Петербург Север</t>
  </si>
  <si>
    <t>Волгоград</t>
  </si>
  <si>
    <t>Казань</t>
  </si>
  <si>
    <t>Пермь</t>
  </si>
  <si>
    <t>Ростов-на-Дону</t>
  </si>
  <si>
    <t>Краснодар</t>
  </si>
  <si>
    <t>Москва Запад</t>
  </si>
  <si>
    <t>Москва Восток</t>
  </si>
  <si>
    <t>Новосибирск</t>
  </si>
  <si>
    <t>Тюмень</t>
  </si>
  <si>
    <t>Томск</t>
  </si>
  <si>
    <t>Уфа</t>
  </si>
  <si>
    <t>Названия строк</t>
  </si>
  <si>
    <t>Общий итог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</si>
  <si>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</si>
  <si>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</si>
  <si>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</si>
  <si>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</si>
  <si>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</si>
  <si>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</si>
  <si>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</si>
  <si>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Сумма по полю Товарооборот на склад</t>
  </si>
  <si>
    <t>(несколько элементов)</t>
  </si>
  <si>
    <t>Товарообороты</t>
  </si>
  <si>
    <t>Дни недели</t>
  </si>
  <si>
    <t xml:space="preserve">Товарооборот </t>
  </si>
  <si>
    <t>Сумма по полю Товарооборот, руб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</si>
</sst>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theme="0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 tint="-0.249977111117893"/>
        <bgColor theme="4"/>
      </patternFill>
    </fill>
  </fills>
  <borders count="8">
    <border>
      <left/>
      <right/>
      <top/>
      <bottom/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8EAADB"/>
      </left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 style="thin">
        <color rgb="FF8EAADB"/>
      </left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3" borderId="1" xfId="0" applyNumberFormat="1" applyFont="1" applyFill="1" applyBorder="1"/>
    <xf numFmtId="0" fontId="2" fillId="3" borderId="2" xfId="0" applyFont="1" applyFill="1" applyBorder="1"/>
    <xf numFmtId="0" fontId="3" fillId="0" borderId="0" xfId="0" applyFont="1"/>
    <xf numFmtId="164" fontId="2" fillId="0" borderId="4" xfId="0" applyNumberFormat="1" applyFont="1" applyBorder="1"/>
    <xf numFmtId="0" fontId="2" fillId="0" borderId="5" xfId="0" applyFont="1" applyBorder="1"/>
    <xf numFmtId="164" fontId="2" fillId="0" borderId="6" xfId="0" applyNumberFormat="1" applyFont="1" applyBorder="1"/>
    <xf numFmtId="0" fontId="2" fillId="0" borderId="7" xfId="0" applyFont="1" applyBorder="1"/>
    <xf numFmtId="164" fontId="2" fillId="0" borderId="0" xfId="0" applyNumberFormat="1" applyFont="1"/>
    <xf numFmtId="0" fontId="1" fillId="4" borderId="3" xfId="0" applyFont="1" applyFill="1" applyBorder="1" applyAlignment="1">
      <alignment vertical="center" wrapText="1"/>
    </xf>
    <xf numFmtId="164" fontId="2" fillId="0" borderId="1" xfId="0" applyNumberFormat="1" applyFont="1" applyBorder="1"/>
    <xf numFmtId="164" fontId="2" fillId="3" borderId="4" xfId="0" applyNumberFormat="1" applyFont="1" applyFill="1" applyBorder="1"/>
    <xf numFmtId="0" fontId="2" fillId="0" borderId="2" xfId="0" applyFont="1" applyBorder="1"/>
    <xf numFmtId="0" fontId="2" fillId="3" borderId="5" xfId="0" applyFont="1" applyFill="1" applyBorder="1"/>
    <xf numFmtId="43" fontId="0" fillId="0" borderId="0" xfId="1" applyFont="1"/>
    <xf numFmtId="43" fontId="1" fillId="2" borderId="2" xfId="1" applyFont="1" applyFill="1" applyBorder="1" applyAlignment="1">
      <alignment vertical="center" wrapText="1"/>
    </xf>
    <xf numFmtId="43" fontId="2" fillId="0" borderId="2" xfId="1" applyFont="1" applyBorder="1"/>
    <xf numFmtId="43" fontId="2" fillId="0" borderId="5" xfId="1" applyFont="1" applyBorder="1"/>
    <xf numFmtId="43" fontId="2" fillId="3" borderId="2" xfId="1" applyFont="1" applyFill="1" applyBorder="1"/>
    <xf numFmtId="43" fontId="2" fillId="3" borderId="5" xfId="1" applyFont="1" applyFill="1" applyBorder="1"/>
    <xf numFmtId="43" fontId="2" fillId="0" borderId="7" xfId="1" applyFont="1" applyBorder="1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0" applyNumberFormat="1"/>
    <xf numFmtId="10" fontId="0" fillId="0" borderId="0" xfId="0" applyNumberFormat="1"/>
    <xf numFmtId="0" fontId="0" fillId="0" borderId="0" xfId="0" pivotButton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NumberFormat="1"/>
  </cellXfs>
  <cellStyles count="2">
    <cellStyle name="Обычный" xfId="0" builtinId="0"/>
    <cellStyle name="Финансовый" xfId="1" builtinId="3"/>
  </cellStyles>
  <dxfs count="12">
    <dxf>
      <numFmt numFmtId="35" formatCode="_-* #,##0.00_-;\-* #,##0.00_-;_-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5" formatCode="_-* #,##0.00_-;\-* #,##0.00_-;_-* &quot;-&quot;??_-;_-@_-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.xlsx]Понедельная динамика_!Сводная таблица99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'Понедельная динамика_'!$B$3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'Понедельная динамика_'!$A$4:$A$22</c:f>
              <c:strCache>
                <c:ptCount val="18"/>
                <c:pt idx="0">
                  <c:v>Волгоград</c:v>
                </c:pt>
                <c:pt idx="1">
                  <c:v>Екатеринбург</c:v>
                </c:pt>
                <c:pt idx="2">
                  <c:v>Казань</c:v>
                </c:pt>
                <c:pt idx="3">
                  <c:v>Кемерово</c:v>
                </c:pt>
                <c:pt idx="4">
                  <c:v>Краснодар</c:v>
                </c:pt>
                <c:pt idx="5">
                  <c:v>Москва Восток</c:v>
                </c:pt>
                <c:pt idx="6">
                  <c:v>Москва Запад</c:v>
                </c:pt>
                <c:pt idx="7">
                  <c:v>Нижний Новгород</c:v>
                </c:pt>
                <c:pt idx="8">
                  <c:v>Новосибирск</c:v>
                </c:pt>
                <c:pt idx="9">
                  <c:v>Пермь</c:v>
                </c:pt>
                <c:pt idx="10">
                  <c:v>Ростов-на-Дону</c:v>
                </c:pt>
                <c:pt idx="11">
                  <c:v>Самара</c:v>
                </c:pt>
                <c:pt idx="12">
                  <c:v>Санкт-Петербург Север</c:v>
                </c:pt>
                <c:pt idx="13">
                  <c:v>Санкт-Петербург Юг</c:v>
                </c:pt>
                <c:pt idx="14">
                  <c:v>Тольятти</c:v>
                </c:pt>
                <c:pt idx="15">
                  <c:v>Томск</c:v>
                </c:pt>
                <c:pt idx="16">
                  <c:v>Тюмень</c:v>
                </c:pt>
                <c:pt idx="17">
                  <c:v>Уфа</c:v>
                </c:pt>
              </c:strCache>
            </c:strRef>
          </c:cat>
          <c:val>
            <c:numRef>
              <c:f>'Понедельная динамика_'!$B$4:$B$22</c:f>
              <c:numCache>
                <c:formatCode>General</c:formatCode>
                <c:ptCount val="18"/>
                <c:pt idx="0">
                  <c:v>28043038.5</c:v>
                </c:pt>
                <c:pt idx="1">
                  <c:v>33126207</c:v>
                </c:pt>
                <c:pt idx="2">
                  <c:v>16684525.5</c:v>
                </c:pt>
                <c:pt idx="3">
                  <c:v>13799701.5</c:v>
                </c:pt>
                <c:pt idx="4">
                  <c:v>11696293.5</c:v>
                </c:pt>
                <c:pt idx="5">
                  <c:v>98344302</c:v>
                </c:pt>
                <c:pt idx="6">
                  <c:v>102681913.5</c:v>
                </c:pt>
                <c:pt idx="7">
                  <c:v>14830335</c:v>
                </c:pt>
                <c:pt idx="8">
                  <c:v>5637334.5</c:v>
                </c:pt>
                <c:pt idx="9">
                  <c:v>6461851.5</c:v>
                </c:pt>
                <c:pt idx="10">
                  <c:v>5603479.5</c:v>
                </c:pt>
                <c:pt idx="11">
                  <c:v>636345</c:v>
                </c:pt>
                <c:pt idx="12">
                  <c:v>183206691.18134999</c:v>
                </c:pt>
                <c:pt idx="13">
                  <c:v>136457463.37154999</c:v>
                </c:pt>
                <c:pt idx="14">
                  <c:v>4437835.5</c:v>
                </c:pt>
                <c:pt idx="15">
                  <c:v>389013</c:v>
                </c:pt>
                <c:pt idx="16">
                  <c:v>802447.5</c:v>
                </c:pt>
                <c:pt idx="17">
                  <c:v>410892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A-4762-98B2-E648668161C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2352224"/>
        <c:axId val="1492354624"/>
      </c:lineChart>
      <c:catAx>
        <c:axId val="149235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492354624"/>
        <c:crosses val="autoZero"/>
        <c:auto val="1"/>
        <c:lblAlgn val="ctr"/>
        <c:lblOffset val="100"/>
        <c:noMultiLvlLbl val="0"/>
      </c:catAx>
      <c:valAx>
        <c:axId val="149235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49235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[Тестирование Аналитик .xlsx]График товарооборота на склад!Сводная таблица100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'График товарооборота на склад'!$B$3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'График товарооборота на склад'!$A$4:$A$22</c:f>
              <c:strCache>
                <c:ptCount val="18"/>
                <c:pt idx="0">
                  <c:v>Уфа</c:v>
                </c:pt>
                <c:pt idx="1">
                  <c:v>Томск</c:v>
                </c:pt>
                <c:pt idx="2">
                  <c:v>Самара</c:v>
                </c:pt>
                <c:pt idx="3">
                  <c:v>Тюмень</c:v>
                </c:pt>
                <c:pt idx="4">
                  <c:v>Тольятти</c:v>
                </c:pt>
                <c:pt idx="5">
                  <c:v>Ростов-на-Дону</c:v>
                </c:pt>
                <c:pt idx="6">
                  <c:v>Новосибирск</c:v>
                </c:pt>
                <c:pt idx="7">
                  <c:v>Пермь</c:v>
                </c:pt>
                <c:pt idx="8">
                  <c:v>Краснодар</c:v>
                </c:pt>
                <c:pt idx="9">
                  <c:v>Нижний Новгород</c:v>
                </c:pt>
                <c:pt idx="10">
                  <c:v>Кемерово</c:v>
                </c:pt>
                <c:pt idx="11">
                  <c:v>Казань</c:v>
                </c:pt>
                <c:pt idx="12">
                  <c:v>Волгоград</c:v>
                </c:pt>
                <c:pt idx="13">
                  <c:v>Екатеринбург</c:v>
                </c:pt>
                <c:pt idx="14">
                  <c:v>Москва Восток</c:v>
                </c:pt>
                <c:pt idx="15">
                  <c:v>Москва Запад</c:v>
                </c:pt>
                <c:pt idx="16">
                  <c:v>Санкт-Петербург Юг</c:v>
                </c:pt>
                <c:pt idx="17">
                  <c:v>Санкт-Петербург Север</c:v>
                </c:pt>
              </c:strCache>
            </c:strRef>
          </c:cat>
          <c:val>
            <c:numRef>
              <c:f>'График товарооборота на склад'!$B$4:$B$22</c:f>
              <c:numCache>
                <c:formatCode>_(* #,##0.00_);_(* \(#,##0.00\);_(* "-"??_);_(@_)</c:formatCode>
                <c:ptCount val="18"/>
                <c:pt idx="0">
                  <c:v>4215136990.5</c:v>
                </c:pt>
                <c:pt idx="1">
                  <c:v>5175248341.5</c:v>
                </c:pt>
                <c:pt idx="2">
                  <c:v>28759838742</c:v>
                </c:pt>
                <c:pt idx="3">
                  <c:v>55797232848.75</c:v>
                </c:pt>
                <c:pt idx="4">
                  <c:v>405103402593</c:v>
                </c:pt>
                <c:pt idx="5">
                  <c:v>443588144501.25</c:v>
                </c:pt>
                <c:pt idx="6">
                  <c:v>595938288654</c:v>
                </c:pt>
                <c:pt idx="7">
                  <c:v>815065617084.75</c:v>
                </c:pt>
                <c:pt idx="8">
                  <c:v>2434921840980</c:v>
                </c:pt>
                <c:pt idx="9">
                  <c:v>2945566319307.75</c:v>
                </c:pt>
                <c:pt idx="10">
                  <c:v>3332761542758.25</c:v>
                </c:pt>
                <c:pt idx="11">
                  <c:v>4627759974491.25</c:v>
                </c:pt>
                <c:pt idx="12">
                  <c:v>16375360721445</c:v>
                </c:pt>
                <c:pt idx="13">
                  <c:v>19813719958236</c:v>
                </c:pt>
                <c:pt idx="14">
                  <c:v>155790746809625.25</c:v>
                </c:pt>
                <c:pt idx="15">
                  <c:v>170478886980017.25</c:v>
                </c:pt>
                <c:pt idx="16">
                  <c:v>307186042774462.38</c:v>
                </c:pt>
                <c:pt idx="17">
                  <c:v>526182282393684.31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F4-4B4E-A5AD-D15396A7D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2417024"/>
        <c:axId val="1492411744"/>
      </c:barChart>
      <c:catAx>
        <c:axId val="1492417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492411744"/>
        <c:crosses val="autoZero"/>
        <c:auto val="1"/>
        <c:lblAlgn val="ctr"/>
        <c:lblOffset val="100"/>
        <c:noMultiLvlLbl val="0"/>
      </c:catAx>
      <c:valAx>
        <c:axId val="149241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4924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</xdr:colOff>
      <xdr:row>2</xdr:row>
      <xdr:rowOff>3810</xdr:rowOff>
    </xdr:from>
    <xdr:to>
      <xdr:col>13</xdr:col>
      <xdr:colOff>198120</xdr:colOff>
      <xdr:row>21</xdr:row>
      <xdr:rowOff>160020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3734381-B696-029F-F50D-AB2350AFC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259080</xdr:colOff>
      <xdr:row>1</xdr:row>
      <xdr:rowOff>110490</xdr:rowOff>
    </xdr:from>
    <xdr:to>
      <xdr:col>12</xdr:col>
      <xdr:colOff>601980</xdr:colOff>
      <xdr:row>21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1A5AA62-21F9-3CCC-CFB3-DDF156EED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азира Андабаева" refreshedDate="46138.846334606482" createdVersion="8" refreshedVersion="8" minRefreshableVersion="3" recordCount="504" xr:uid="{D6DF50B5-C20D-4DCE-8A28-307FDAA1F9C9}">
  <cacheSource type="worksheet">
    <worksheetSource ref="A1:I505" sheet="общая таблица"/>
  </cacheSource>
  <cacheFields count="11">
    <cacheField name="Дата" numFmtId="164">
      <sharedItems containsSemiMixedTypes="0" containsNonDate="0" containsDate="1" containsString="0" minDate="2020-04-28T00:00:00" maxDate="2020-06-02T00:00:00" count="35"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</sharedItems>
      <fieldGroup par="10"/>
    </cacheField>
    <cacheField name="Территория" numFmtId="0">
      <sharedItems count="18">
        <s v="Волгоград"/>
        <s v="Екатеринбург"/>
        <s v="Казань"/>
        <s v="Кемерово"/>
        <s v="Краснодар"/>
        <s v="Москва Восток"/>
        <s v="Москва Запад"/>
        <s v="Нижний Новгород"/>
        <s v="Новосибирск"/>
        <s v="Пермь"/>
        <s v="Ростов-на-Дону"/>
        <s v="Самара"/>
        <s v="Санкт-Петербург Север"/>
        <s v="Санкт-Петербург Юг"/>
        <s v="Тольятти"/>
        <s v="Томск"/>
        <s v="Тюмень"/>
        <s v="Уфа"/>
      </sharedItems>
    </cacheField>
    <cacheField name="Товарооборот, шт" numFmtId="43">
      <sharedItems containsSemiMixedTypes="0" containsString="0" containsNumber="1" minValue="4285.5" maxValue="524481"/>
    </cacheField>
    <cacheField name="Товарооборот, руб" numFmtId="43">
      <sharedItems containsSemiMixedTypes="0" containsString="0" containsNumber="1" minValue="389013" maxValue="54172029"/>
    </cacheField>
    <cacheField name="Количество складов" numFmtId="0">
      <sharedItems containsSemiMixedTypes="0" containsString="0" containsNumber="1" containsInteger="1" minValue="6" maxValue="129"/>
    </cacheField>
    <cacheField name="Количество заказов" numFmtId="0">
      <sharedItems containsSemiMixedTypes="0" containsString="0" containsNumber="1" containsInteger="1" minValue="237" maxValue="25828"/>
    </cacheField>
    <cacheField name="Количество клиентов" numFmtId="0">
      <sharedItems containsSemiMixedTypes="0" containsString="0" containsNumber="1" containsInteger="1" minValue="175" maxValue="23974"/>
    </cacheField>
    <cacheField name="Товарооборот на склад" numFmtId="43">
      <sharedItems containsSemiMixedTypes="0" containsString="0" containsNumber="1" minValue="1734303280.5" maxValue="28412199941949" count="504">
        <n v="459969474285"/>
        <n v="482196421035"/>
        <n v="533534346387"/>
        <n v="578249313412.5"/>
        <n v="190331170449.75"/>
        <n v="439107022210.5"/>
        <n v="356536377596.25"/>
        <n v="383140707444"/>
        <n v="343675103958"/>
        <n v="438898243612.5"/>
        <n v="331624930988.25"/>
        <n v="604739969271"/>
        <n v="682296923614.5"/>
        <n v="308484269793"/>
        <n v="355638100317.75"/>
        <n v="462762141336"/>
        <n v="341557416112.5"/>
        <n v="476087117184"/>
        <n v="541031696338.5"/>
        <n v="433727142952.5"/>
        <n v="407505331467"/>
        <n v="467926888279.5"/>
        <n v="709570162899"/>
        <n v="428820011752.5"/>
        <n v="450638307724.5"/>
        <n v="642395666052"/>
        <n v="455227256488.5"/>
        <n v="378312421725"/>
        <n v="397215211371.75"/>
        <n v="413089537887"/>
        <n v="426799563795"/>
        <n v="610318689232.5"/>
        <n v="972854074899"/>
        <n v="495588934973.25"/>
        <n v="375510774600"/>
        <n v="586175956679.25"/>
        <n v="571043504209.5"/>
        <n v="544795423537.5"/>
        <n v="867376698095.25"/>
        <n v="335825918223.75"/>
        <n v="541900692045"/>
        <n v="484409256196.5"/>
        <n v="530072484810.75"/>
        <n v="425600321058"/>
        <n v="482555535675.75"/>
        <n v="437697539804.25"/>
        <n v="436791128760"/>
        <n v="629576077608"/>
        <n v="462118721649.75"/>
        <n v="457610778720"/>
        <n v="551445178815"/>
        <n v="426773174026.5"/>
        <n v="542975162001.75"/>
        <n v="667852316664.75"/>
        <n v="528831998950.5"/>
        <n v="515944360269"/>
        <n v="572666496264"/>
        <n v="676296636419.25"/>
        <n v="527291368537.5"/>
        <n v="757107481027.5"/>
        <n v="832287878698.5"/>
        <n v="494558691732"/>
        <n v="511708108198.5"/>
        <n v="533953186742.25"/>
        <n v="526333252965.75"/>
        <n v="518978882299.5"/>
        <n v="646756780032"/>
        <n v="990915669022.5"/>
        <n v="669748679151.75"/>
        <n v="527744619344.25"/>
        <n v="92153527690.5"/>
        <n v="76573373490"/>
        <n v="89113166880.75"/>
        <n v="200150918730"/>
        <n v="65290697466.75"/>
        <n v="81424634838.75"/>
        <n v="86733530730"/>
        <n v="78089943960"/>
        <n v="83080249434"/>
        <n v="96402858156"/>
        <n v="110125131720.75"/>
        <n v="99455391753.75"/>
        <n v="133053890726.25"/>
        <n v="100805545156.5"/>
        <n v="99871981782.75"/>
        <n v="116841531915"/>
        <n v="107300890633.5"/>
        <n v="157291862674.5"/>
        <n v="179362607454"/>
        <n v="111147946065"/>
        <n v="123167428492.5"/>
        <n v="135899859375"/>
        <n v="162210790917"/>
        <n v="155538398292.75"/>
        <n v="260620767054"/>
        <n v="166974361785"/>
        <n v="131744384336.25"/>
        <n v="137980314897.75"/>
        <n v="150767321539.5"/>
        <n v="152823928266"/>
        <n v="161361907281"/>
        <n v="183118069422"/>
        <n v="215185962489.75"/>
        <n v="169443973930.5"/>
        <n v="156652825153.5"/>
        <n v="64968167250"/>
        <n v="76917824779.5"/>
        <n v="85770956040.75"/>
        <n v="98476348698"/>
        <n v="78710211657"/>
        <n v="63507426948"/>
        <n v="60650477460"/>
        <n v="91754880858"/>
        <n v="95537572353"/>
        <n v="66794250834"/>
        <n v="77791510440"/>
        <n v="88179164302.5"/>
        <n v="121319213366.25"/>
        <n v="67408592343.75"/>
        <n v="73251571380.75"/>
        <n v="76897455462"/>
        <n v="80169488856"/>
        <n v="103759242171.75"/>
        <n v="132261503670"/>
        <n v="92306409774.75"/>
        <n v="88547643355.5"/>
        <n v="88237891593"/>
        <n v="99822795448.5"/>
        <n v="85822313904"/>
        <n v="111375870689.25"/>
        <n v="154959322092.75"/>
        <n v="100329041562.75"/>
        <n v="113060835360"/>
        <n v="99277339590"/>
        <n v="98967916975.5"/>
        <n v="87611476972.5"/>
        <n v="113138696560.5"/>
        <n v="172562439784.5"/>
        <n v="128530641105"/>
        <n v="94085049118.5"/>
        <n v="57266083728"/>
        <n v="60950549189.25"/>
        <n v="71383990680"/>
        <n v="111499866900"/>
        <n v="31010746016.25"/>
        <n v="40692599329.5"/>
        <n v="50846818950"/>
        <n v="62762253394.5"/>
        <n v="52553192793.75"/>
        <n v="60441482916"/>
        <n v="55943719200"/>
        <n v="62654679927"/>
        <n v="86405254092"/>
        <n v="51142862767.5"/>
        <n v="57163567860"/>
        <n v="57811395658.5"/>
        <n v="57093361524"/>
        <n v="72548251821"/>
        <n v="101023622410.5"/>
        <n v="68867508937.5"/>
        <n v="63183124935"/>
        <n v="70661902725"/>
        <n v="72722636770.5"/>
        <n v="55769402151"/>
        <n v="78207018772.5"/>
        <n v="114290475648.75"/>
        <n v="75363797470.5"/>
        <n v="71599808682"/>
        <n v="65467766268"/>
        <n v="68962481775"/>
        <n v="72162086665.5"/>
        <n v="93585563223.75"/>
        <n v="104229491121"/>
        <n v="87664945376.25"/>
        <n v="70989531300"/>
        <n v="3914738683267.5"/>
        <n v="4241265031019.25"/>
        <n v="4479371767710"/>
        <n v="5426446022208"/>
        <n v="3285556674835.5"/>
        <n v="6332506802730"/>
        <n v="5097758175067.5"/>
        <n v="4256041206060"/>
        <n v="4790330981361"/>
        <n v="4494678961545"/>
        <n v="5142115387505.25"/>
        <n v="3218847116735.25"/>
        <n v="5428617239137.5"/>
        <n v="2833321558603.5"/>
        <n v="3550427804301.75"/>
        <n v="3543836494331.25"/>
        <n v="3476480883507"/>
        <n v="4811983610501.25"/>
        <n v="5040681724980"/>
        <n v="3409419690436.5"/>
        <n v="3902722780320"/>
        <n v="4353842895378.75"/>
        <n v="4600988542982.25"/>
        <n v="4495567287876.75"/>
        <n v="4462801083594"/>
        <n v="7393079804418"/>
        <n v="3694437714123"/>
        <n v="3821706950796"/>
        <n v="5543486959477.5"/>
        <n v="4264672042134"/>
        <n v="3746406678414.75"/>
        <n v="5076720327114"/>
        <n v="5910810673320"/>
        <n v="4283467223987.25"/>
        <n v="3465610029846"/>
        <n v="4320900041793.75"/>
        <n v="4503587053549.5"/>
        <n v="4830116580000"/>
        <n v="6084184949559"/>
        <n v="3649905571356"/>
        <n v="6814224660516.75"/>
        <n v="5770482778701"/>
        <n v="4681596872961"/>
        <n v="5177344425264"/>
        <n v="4927999583430"/>
        <n v="5557353297898.5"/>
        <n v="3619233465448.5"/>
        <n v="6068902877212.5"/>
        <n v="3141100509192"/>
        <n v="3704419855626.75"/>
        <n v="3765427400106"/>
        <n v="3947525337483"/>
        <n v="5330296961523"/>
        <n v="5603759082724.5"/>
        <n v="3779557609311"/>
        <n v="4125311548564.5"/>
        <n v="4907038984155"/>
        <n v="4822753289535"/>
        <n v="4989934224382.5"/>
        <n v="5110302498401.25"/>
        <n v="8349074797844.25"/>
        <n v="3992549014129.5"/>
        <n v="4090851144740.25"/>
        <n v="6162650191507.5"/>
        <n v="4816821249396"/>
        <n v="4102084641692.25"/>
        <n v="5366312737458.75"/>
        <n v="6043856672637"/>
        <n v="4646822180170.5"/>
        <n v="3674604891746.25"/>
        <n v="49818831603.75"/>
        <n v="62138288196"/>
        <n v="54903546936"/>
        <n v="61240577130"/>
        <n v="35014824760.5"/>
        <n v="51088000475.25"/>
        <n v="66352619232"/>
        <n v="47521555200"/>
        <n v="55094103882"/>
        <n v="59868102566.25"/>
        <n v="57455305850.25"/>
        <n v="93098615193"/>
        <n v="89874741750.75"/>
        <n v="165858129652.5"/>
        <n v="61708271040"/>
        <n v="62809190268.75"/>
        <n v="66924504720"/>
        <n v="96890483151"/>
        <n v="114342977193.75"/>
        <n v="82138109697"/>
        <n v="74197026864"/>
        <n v="92935789143.75"/>
        <n v="80645749650"/>
        <n v="90465825820.5"/>
        <n v="129993196410"/>
        <n v="129241673246.25"/>
        <n v="92871404109"/>
        <n v="87699858682.5"/>
        <n v="91313057277"/>
        <n v="91399625181"/>
        <n v="96056722449"/>
        <n v="115159176684"/>
        <n v="145680655855.5"/>
        <n v="96819591640.5"/>
        <n v="96946187796"/>
        <n v="12447952951.5"/>
        <n v="12024098509.5"/>
        <n v="12030023736"/>
        <n v="15478353936"/>
        <n v="8183706900.75"/>
        <n v="8187616800"/>
        <n v="10026424968.75"/>
        <n v="15970468045.5"/>
        <n v="12674551122"/>
        <n v="11319630660"/>
        <n v="13584429560.25"/>
        <n v="11225888617.5"/>
        <n v="17720977540.5"/>
        <n v="9631974996"/>
        <n v="14683486432.5"/>
        <n v="17171714313"/>
        <n v="15629018303.25"/>
        <n v="15003982080"/>
        <n v="21546024984"/>
        <n v="15557189760"/>
        <n v="17842232722.5"/>
        <n v="16256495083.5"/>
        <n v="18178564536"/>
        <n v="16630030755"/>
        <n v="23790996553.5"/>
        <n v="26149966713"/>
        <n v="23840249343.75"/>
        <n v="20971225935"/>
        <n v="17454177501.75"/>
        <n v="20625647562"/>
        <n v="21752331354"/>
        <n v="24274876329"/>
        <n v="36683020296"/>
        <n v="22978107630"/>
        <n v="18412852122"/>
        <n v="14672257204.5"/>
        <n v="14523526395"/>
        <n v="14067432580.5"/>
        <n v="25085687067"/>
        <n v="12968830626.75"/>
        <n v="14475002778"/>
        <n v="13349723116.5"/>
        <n v="22128869673"/>
        <n v="17169282477"/>
        <n v="14279079622.5"/>
        <n v="18404913177"/>
        <n v="17058067002"/>
        <n v="24185454581.25"/>
        <n v="13413420477"/>
        <n v="14387833575"/>
        <n v="17788996541.25"/>
        <n v="17599925227.5"/>
        <n v="22610905526.25"/>
        <n v="29786514300"/>
        <n v="21502607197.5"/>
        <n v="17808285206.25"/>
        <n v="22708324386"/>
        <n v="24785595357.75"/>
        <n v="22856960331"/>
        <n v="38117909907"/>
        <n v="40711091937.75"/>
        <n v="27981889425"/>
        <n v="25951907542.5"/>
        <n v="25897503307.5"/>
        <n v="28966133830.5"/>
        <n v="24550812000"/>
        <n v="34670451843"/>
        <n v="66961345626"/>
        <n v="28163797895.25"/>
        <n v="25475279343.75"/>
        <n v="1734303280.5"/>
        <n v="2753597898"/>
        <n v="2003534565.75"/>
        <n v="5406913417.5"/>
        <n v="4329438356.25"/>
        <n v="5711638239"/>
        <n v="6257732901.75"/>
        <n v="6707706441.75"/>
        <n v="7235558401.5"/>
        <n v="13015143618.75"/>
        <n v="16104957120"/>
        <n v="13680973332"/>
        <n v="11179383536.25"/>
        <n v="9880039912.5"/>
        <n v="10754133153.75"/>
        <n v="13730432649.75"/>
        <n v="15941840476.5"/>
        <n v="12690877846.5"/>
        <n v="13883573925"/>
        <n v="22781983781.25"/>
        <n v="13954356540"/>
        <n v="13392471172.5"/>
        <n v="22311699873.75"/>
        <n v="18631332146.25"/>
        <n v="15007500090"/>
        <n v="16318909620"/>
        <n v="14123606013"/>
        <n v="15994866771"/>
        <n v="17188472281.5"/>
        <n v="26413889040"/>
        <n v="28876738113"/>
        <n v="19795178916"/>
        <n v="25795361070"/>
        <n v="5497027956"/>
        <n v="5438154568.5"/>
        <n v="7893835929"/>
        <n v="4956829596"/>
        <n v="4973990692.5"/>
        <n v="15011593756724.25"/>
        <n v="16092645452172"/>
        <n v="17279479200510"/>
        <n v="14928914887524"/>
        <n v="9444215519460"/>
        <n v="12552540740667"/>
        <n v="13836297213270"/>
        <n v="11906939435328"/>
        <n v="13533371791632"/>
        <n v="10774426529790"/>
        <n v="22770067857165"/>
        <n v="13899220686378"/>
        <n v="14381320057875"/>
        <n v="10761646242055.5"/>
        <n v="14778324023184"/>
        <n v="13021538427411.75"/>
        <n v="13605518599818.75"/>
        <n v="17046418896085.5"/>
        <n v="17302323589110"/>
        <n v="13152592507824"/>
        <n v="13094300706372"/>
        <n v="13422276935869.5"/>
        <n v="15406530950412"/>
        <n v="14328663927270.795"/>
        <n v="15523571756223"/>
        <n v="21203155630800"/>
        <n v="14350182450336"/>
        <n v="12899388808152"/>
        <n v="14190072516490.5"/>
        <n v="14443386690768.75"/>
        <n v="13837169239263"/>
        <n v="28412199941949"/>
        <n v="21011723133192"/>
        <n v="14951216210103"/>
        <n v="13029048082498.004"/>
        <n v="8339541613065"/>
        <n v="9200868962962.5"/>
        <n v="10086534451588.5"/>
        <n v="9196424154816.75"/>
        <n v="5669340839907.75"/>
        <n v="7791357715083"/>
        <n v="8335966878450"/>
        <n v="7166973955790.4297"/>
        <n v="7984245054025.2666"/>
        <n v="6275944044958.5"/>
        <n v="14097380328198"/>
        <n v="8512871404428"/>
        <n v="8482981762802.249"/>
        <n v="5839329469165.3203"/>
        <n v="8184065965920"/>
        <n v="6840751564156.5"/>
        <n v="7723336704228"/>
        <n v="10315078392096"/>
        <n v="10361009637900"/>
        <n v="7172307772449.75"/>
        <n v="7541914328027.6406"/>
        <n v="7493242949244"/>
        <n v="8815080854135.043"/>
        <n v="8047705514400"/>
        <n v="8960304626748"/>
        <n v="12531469965342.541"/>
        <n v="8110982867427"/>
        <n v="7252850666927.25"/>
        <n v="7719767488972.8896"/>
        <n v="8383840028590.5"/>
        <n v="7839815539334.625"/>
        <n v="17666059298081.379"/>
        <n v="13035242499513.75"/>
        <n v="8632261325025"/>
        <n v="7579194150701.25"/>
        <n v="10728201530.25"/>
        <n v="8649840919.5"/>
        <n v="6398495064"/>
        <n v="10354149850.5"/>
        <n v="4860255879"/>
        <n v="5221374925.5"/>
        <n v="6655134710.25"/>
        <n v="8050214700"/>
        <n v="6417827325"/>
        <n v="9526774743"/>
        <n v="12023159184"/>
        <n v="13829745600"/>
        <n v="12979857843"/>
        <n v="6614527016.25"/>
        <n v="6837459338.25"/>
        <n v="9697733829"/>
        <n v="11815576650"/>
        <n v="16592506969.5"/>
        <n v="16126675222.5"/>
        <n v="8776875318.75"/>
        <n v="10937941413.75"/>
        <n v="10820199627"/>
        <n v="13550076184.5"/>
        <n v="10524633750"/>
        <n v="26243272782"/>
        <n v="18339579137.25"/>
        <n v="8285280588"/>
        <n v="12654318420"/>
        <n v="11635095015"/>
        <n v="13174960664.25"/>
        <n v="14531535495"/>
        <n v="18876556872"/>
        <n v="18565023865.5"/>
        <n v="13303655617.5"/>
        <n v="11504886543"/>
        <n v="3165607183.5"/>
        <n v="2009641158"/>
        <n v="8702532373.5"/>
        <n v="5750757450"/>
        <n v="5855021880.75"/>
        <n v="8446293643.5"/>
        <n v="10419739110"/>
        <n v="9020500776"/>
        <n v="7602387615"/>
        <n v="2403719608.5"/>
        <n v="1811417382"/>
      </sharedItems>
    </cacheField>
    <cacheField name="Неделя" numFmtId="0">
      <sharedItems count="7">
        <s v="вторник"/>
        <s v="среда"/>
        <s v="четверг"/>
        <s v="пятница"/>
        <s v="суббота"/>
        <s v="воскресенье"/>
        <s v="понедельник"/>
      </sharedItems>
    </cacheField>
    <cacheField name="Дни (Дата)" numFmtId="0" databaseField="0">
      <fieldGroup base="0">
        <rangePr groupBy="days" startDate="2020-04-28T00:00:00" endDate="2020-06-02T00:00:00"/>
        <groupItems count="368">
          <s v="&lt;28.04.202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р"/>
          <s v="02.февр"/>
          <s v="03.февр"/>
          <s v="04.февр"/>
          <s v="05.февр"/>
          <s v="06.февр"/>
          <s v="07.февр"/>
          <s v="08.февр"/>
          <s v="09.февр"/>
          <s v="10.февр"/>
          <s v="11.февр"/>
          <s v="12.февр"/>
          <s v="13.февр"/>
          <s v="14.февр"/>
          <s v="15.февр"/>
          <s v="16.февр"/>
          <s v="17.февр"/>
          <s v="18.февр"/>
          <s v="19.февр"/>
          <s v="20.февр"/>
          <s v="21.февр"/>
          <s v="22.февр"/>
          <s v="23.февр"/>
          <s v="24.февр"/>
          <s v="25.февр"/>
          <s v="26.февр"/>
          <s v="27.февр"/>
          <s v="28.февр"/>
          <s v="29.февр"/>
          <s v="01.март"/>
          <s v="02.март"/>
          <s v="03.март"/>
          <s v="04.март"/>
          <s v="05.март"/>
          <s v="06.март"/>
          <s v="07.март"/>
          <s v="08.март"/>
          <s v="09.март"/>
          <s v="10.март"/>
          <s v="11.март"/>
          <s v="12.март"/>
          <s v="13.март"/>
          <s v="14.март"/>
          <s v="15.март"/>
          <s v="16.март"/>
          <s v="17.март"/>
          <s v="18.март"/>
          <s v="19.март"/>
          <s v="20.март"/>
          <s v="21.март"/>
          <s v="22.март"/>
          <s v="23.март"/>
          <s v="24.март"/>
          <s v="25.март"/>
          <s v="26.март"/>
          <s v="27.март"/>
          <s v="28.март"/>
          <s v="29.март"/>
          <s v="30.март"/>
          <s v="31.март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ь"/>
          <s v="02.июнь"/>
          <s v="03.июнь"/>
          <s v="04.июнь"/>
          <s v="05.июнь"/>
          <s v="06.июнь"/>
          <s v="07.июнь"/>
          <s v="08.июнь"/>
          <s v="09.июнь"/>
          <s v="10.июнь"/>
          <s v="11.июнь"/>
          <s v="12.июнь"/>
          <s v="13.июнь"/>
          <s v="14.июнь"/>
          <s v="15.июнь"/>
          <s v="16.июнь"/>
          <s v="17.июнь"/>
          <s v="18.июнь"/>
          <s v="19.июнь"/>
          <s v="20.июнь"/>
          <s v="21.июнь"/>
          <s v="22.июнь"/>
          <s v="23.июнь"/>
          <s v="24.июнь"/>
          <s v="25.июнь"/>
          <s v="26.июнь"/>
          <s v="27.июнь"/>
          <s v="28.июнь"/>
          <s v="29.июнь"/>
          <s v="30.июнь"/>
          <s v="01.июль"/>
          <s v="02.июль"/>
          <s v="03.июль"/>
          <s v="04.июль"/>
          <s v="05.июль"/>
          <s v="06.июль"/>
          <s v="07.июль"/>
          <s v="08.июль"/>
          <s v="09.июль"/>
          <s v="10.июль"/>
          <s v="11.июль"/>
          <s v="12.июль"/>
          <s v="13.июль"/>
          <s v="14.июль"/>
          <s v="15.июль"/>
          <s v="16.июль"/>
          <s v="17.июль"/>
          <s v="18.июль"/>
          <s v="19.июль"/>
          <s v="20.июль"/>
          <s v="21.июль"/>
          <s v="22.июль"/>
          <s v="23.июль"/>
          <s v="24.июль"/>
          <s v="25.июль"/>
          <s v="26.июль"/>
          <s v="27.июль"/>
          <s v="28.июль"/>
          <s v="29.июль"/>
          <s v="30.июль"/>
          <s v="31.июль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т"/>
          <s v="02.сент"/>
          <s v="03.сент"/>
          <s v="04.сент"/>
          <s v="05.сент"/>
          <s v="06.сент"/>
          <s v="07.сент"/>
          <s v="08.сент"/>
          <s v="09.сент"/>
          <s v="10.сент"/>
          <s v="11.сент"/>
          <s v="12.сент"/>
          <s v="13.сент"/>
          <s v="14.сент"/>
          <s v="15.сент"/>
          <s v="16.сент"/>
          <s v="17.сент"/>
          <s v="18.сент"/>
          <s v="19.сент"/>
          <s v="20.сент"/>
          <s v="21.сент"/>
          <s v="22.сент"/>
          <s v="23.сент"/>
          <s v="24.сент"/>
          <s v="25.сент"/>
          <s v="26.сент"/>
          <s v="27.сент"/>
          <s v="28.сент"/>
          <s v="29.сент"/>
          <s v="30.сент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б"/>
          <s v="02.нояб"/>
          <s v="03.нояб"/>
          <s v="04.нояб"/>
          <s v="05.нояб"/>
          <s v="06.нояб"/>
          <s v="07.нояб"/>
          <s v="08.нояб"/>
          <s v="09.нояб"/>
          <s v="10.нояб"/>
          <s v="11.нояб"/>
          <s v="12.нояб"/>
          <s v="13.нояб"/>
          <s v="14.нояб"/>
          <s v="15.нояб"/>
          <s v="16.нояб"/>
          <s v="17.нояб"/>
          <s v="18.нояб"/>
          <s v="19.нояб"/>
          <s v="20.нояб"/>
          <s v="21.нояб"/>
          <s v="22.нояб"/>
          <s v="23.нояб"/>
          <s v="24.нояб"/>
          <s v="25.нояб"/>
          <s v="26.нояб"/>
          <s v="27.нояб"/>
          <s v="28.нояб"/>
          <s v="29.нояб"/>
          <s v="30.нояб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2.06.2020"/>
        </groupItems>
      </fieldGroup>
    </cacheField>
    <cacheField name="Месяцы (Дата)" numFmtId="0" databaseField="0">
      <fieldGroup base="0">
        <rangePr groupBy="months" startDate="2020-04-28T00:00:00" endDate="2020-06-02T00:00:00"/>
        <groupItems count="14">
          <s v="&lt;28.04.2020"/>
          <s v="янв"/>
          <s v="февр"/>
          <s v="март"/>
          <s v="апр"/>
          <s v="май"/>
          <s v="июнь"/>
          <s v="июль"/>
          <s v="авг"/>
          <s v="сент"/>
          <s v="окт"/>
          <s v="нояб"/>
          <s v="дек"/>
          <s v="&gt;02.06.2020"/>
        </groupItems>
      </fieldGroup>
    </cacheField>
  </cacheFields>
  <extLst>
    <ext xmlns:x14="http://schemas.microsoft.com/office/spreadsheetml/2009/9/main" uri="{725AE2AE-9491-48be-B2B4-4EB974FC3084}">
      <x14:pivotCacheDefinition pivotCacheId="68509983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азира Андабаева" refreshedDate="46141.94803900463" createdVersion="8" refreshedVersion="8" minRefreshableVersion="3" recordCount="1000" xr:uid="{3BF0FC57-A893-40A6-8B0B-CDE0D6702BC9}">
  <cacheSource type="worksheet">
    <worksheetSource ref="A1:I1048576" sheet="общая таблица"/>
  </cacheSource>
  <cacheFields count="9">
    <cacheField name="Дата" numFmtId="0">
      <sharedItems containsNonDate="0" containsDate="1" containsString="0" containsBlank="1" minDate="2020-04-28T00:00:00" maxDate="2020-06-02T00:00:00"/>
    </cacheField>
    <cacheField name="Территория" numFmtId="0">
      <sharedItems containsBlank="1" count="19">
        <s v="Волгоград"/>
        <s v="Екатеринбург"/>
        <s v="Казань"/>
        <s v="Кемерово"/>
        <s v="Краснодар"/>
        <s v="Москва Восток"/>
        <s v="Москва Запад"/>
        <s v="Нижний Новгород"/>
        <s v="Новосибирск"/>
        <s v="Пермь"/>
        <s v="Ростов-на-Дону"/>
        <s v="Самара"/>
        <s v="Санкт-Петербург Север"/>
        <s v="Санкт-Петербург Юг"/>
        <s v="Тольятти"/>
        <s v="Томск"/>
        <s v="Тюмень"/>
        <s v="Уфа"/>
        <m/>
      </sharedItems>
    </cacheField>
    <cacheField name="Товарооборот, шт" numFmtId="43">
      <sharedItems containsString="0" containsBlank="1" containsNumber="1" minValue="4285.5" maxValue="524481"/>
    </cacheField>
    <cacheField name="Товарооборот, руб" numFmtId="43">
      <sharedItems containsString="0" containsBlank="1" containsNumber="1" minValue="389013" maxValue="54172029"/>
    </cacheField>
    <cacheField name="Количество складов" numFmtId="0">
      <sharedItems containsString="0" containsBlank="1" containsNumber="1" containsInteger="1" minValue="6" maxValue="129"/>
    </cacheField>
    <cacheField name="Количество заказов" numFmtId="0">
      <sharedItems containsString="0" containsBlank="1" containsNumber="1" containsInteger="1" minValue="237" maxValue="25828"/>
    </cacheField>
    <cacheField name="Количество клиентов" numFmtId="0">
      <sharedItems containsString="0" containsBlank="1" containsNumber="1" containsInteger="1" minValue="175" maxValue="23974"/>
    </cacheField>
    <cacheField name="Товарооборот на склад" numFmtId="0">
      <sharedItems containsString="0" containsBlank="1" containsNumber="1" minValue="1734303280.5" maxValue="28412199941949"/>
    </cacheField>
    <cacheField name="Неделя" numFmtId="0">
      <sharedItems containsBlank="1" count="8">
        <s v="вторник"/>
        <s v="среда"/>
        <s v="четверг"/>
        <s v="пятница"/>
        <s v="суббота"/>
        <s v="воскресенье"/>
        <s v="понедельник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x v="0"/>
    <x v="0"/>
    <n v="73147.5"/>
    <n v="6288246"/>
    <n v="36"/>
    <n v="4923"/>
    <n v="4560"/>
    <x v="0"/>
    <x v="0"/>
  </r>
  <r>
    <x v="1"/>
    <x v="0"/>
    <n v="74707.5"/>
    <n v="6454458"/>
    <n v="36"/>
    <n v="4937"/>
    <n v="4561"/>
    <x v="1"/>
    <x v="1"/>
  </r>
  <r>
    <x v="2"/>
    <x v="0"/>
    <n v="78235.5"/>
    <n v="6819594"/>
    <n v="36"/>
    <n v="5143"/>
    <n v="4715"/>
    <x v="2"/>
    <x v="2"/>
  </r>
  <r>
    <x v="3"/>
    <x v="0"/>
    <n v="82228.5"/>
    <n v="7032225"/>
    <n v="36"/>
    <n v="5457"/>
    <n v="4916"/>
    <x v="3"/>
    <x v="3"/>
  </r>
  <r>
    <x v="4"/>
    <x v="0"/>
    <n v="46216.5"/>
    <n v="4118251.5"/>
    <n v="36"/>
    <n v="3442"/>
    <n v="3147"/>
    <x v="4"/>
    <x v="4"/>
  </r>
  <r>
    <x v="5"/>
    <x v="0"/>
    <n v="70581"/>
    <n v="6221320.5"/>
    <n v="36"/>
    <n v="4751"/>
    <n v="4370"/>
    <x v="5"/>
    <x v="5"/>
  </r>
  <r>
    <x v="6"/>
    <x v="0"/>
    <n v="64108.5"/>
    <n v="5561452.5"/>
    <n v="36"/>
    <n v="4508"/>
    <n v="4149"/>
    <x v="6"/>
    <x v="6"/>
  </r>
  <r>
    <x v="7"/>
    <x v="0"/>
    <n v="66396"/>
    <n v="5770539"/>
    <n v="36"/>
    <n v="4575"/>
    <n v="4206"/>
    <x v="7"/>
    <x v="0"/>
  </r>
  <r>
    <x v="8"/>
    <x v="0"/>
    <n v="63012"/>
    <n v="5454121.5"/>
    <n v="36"/>
    <n v="4384"/>
    <n v="4025"/>
    <x v="8"/>
    <x v="1"/>
  </r>
  <r>
    <x v="9"/>
    <x v="0"/>
    <n v="71067"/>
    <n v="6175837.5"/>
    <n v="36"/>
    <n v="4826"/>
    <n v="4426"/>
    <x v="9"/>
    <x v="2"/>
  </r>
  <r>
    <x v="10"/>
    <x v="0"/>
    <n v="61804.5"/>
    <n v="5365708.5"/>
    <n v="36"/>
    <n v="4199"/>
    <n v="3867"/>
    <x v="10"/>
    <x v="3"/>
  </r>
  <r>
    <x v="11"/>
    <x v="0"/>
    <n v="83373"/>
    <n v="7253427"/>
    <n v="36"/>
    <n v="5413"/>
    <n v="4959"/>
    <x v="11"/>
    <x v="4"/>
  </r>
  <r>
    <x v="12"/>
    <x v="0"/>
    <n v="88311"/>
    <n v="7726069.5"/>
    <n v="36"/>
    <n v="5746"/>
    <n v="5277"/>
    <x v="12"/>
    <x v="5"/>
  </r>
  <r>
    <x v="13"/>
    <x v="0"/>
    <n v="59574"/>
    <n v="5178169.5"/>
    <n v="36"/>
    <n v="4150"/>
    <n v="3838"/>
    <x v="13"/>
    <x v="6"/>
  </r>
  <r>
    <x v="14"/>
    <x v="0"/>
    <n v="64390.5"/>
    <n v="5523145.5"/>
    <n v="36"/>
    <n v="4418"/>
    <n v="4088"/>
    <x v="14"/>
    <x v="0"/>
  </r>
  <r>
    <x v="15"/>
    <x v="0"/>
    <n v="73062"/>
    <n v="6333828"/>
    <n v="36"/>
    <n v="4967"/>
    <n v="4583"/>
    <x v="15"/>
    <x v="1"/>
  </r>
  <r>
    <x v="16"/>
    <x v="0"/>
    <n v="63645"/>
    <n v="5366602.5"/>
    <n v="36"/>
    <n v="4285"/>
    <n v="3950"/>
    <x v="16"/>
    <x v="2"/>
  </r>
  <r>
    <x v="17"/>
    <x v="0"/>
    <n v="75642"/>
    <n v="6293952"/>
    <n v="36"/>
    <n v="4862"/>
    <n v="4476"/>
    <x v="17"/>
    <x v="3"/>
  </r>
  <r>
    <x v="18"/>
    <x v="0"/>
    <n v="81331.5"/>
    <n v="6652179"/>
    <n v="36"/>
    <n v="5286"/>
    <n v="4867"/>
    <x v="18"/>
    <x v="4"/>
  </r>
  <r>
    <x v="19"/>
    <x v="0"/>
    <n v="72861"/>
    <n v="5952802.5"/>
    <n v="36"/>
    <n v="4918"/>
    <n v="4554"/>
    <x v="19"/>
    <x v="5"/>
  </r>
  <r>
    <x v="20"/>
    <x v="0"/>
    <n v="70278"/>
    <n v="5798476.5"/>
    <n v="36"/>
    <n v="4885"/>
    <n v="4502"/>
    <x v="20"/>
    <x v="6"/>
  </r>
  <r>
    <x v="21"/>
    <x v="0"/>
    <n v="75796.5"/>
    <n v="6173463"/>
    <n v="36"/>
    <n v="5094"/>
    <n v="4716"/>
    <x v="21"/>
    <x v="0"/>
  </r>
  <r>
    <x v="22"/>
    <x v="0"/>
    <n v="99631.5"/>
    <n v="7121946"/>
    <n v="36"/>
    <n v="5914"/>
    <n v="5384"/>
    <x v="22"/>
    <x v="1"/>
  </r>
  <r>
    <x v="23"/>
    <x v="0"/>
    <n v="73126.5"/>
    <n v="5864085"/>
    <n v="36"/>
    <n v="4816"/>
    <n v="4452"/>
    <x v="23"/>
    <x v="2"/>
  </r>
  <r>
    <x v="24"/>
    <x v="0"/>
    <n v="75820.5"/>
    <n v="5943489"/>
    <n v="36"/>
    <n v="4857"/>
    <n v="4456"/>
    <x v="24"/>
    <x v="3"/>
  </r>
  <r>
    <x v="25"/>
    <x v="0"/>
    <n v="89556"/>
    <n v="7173117"/>
    <n v="36"/>
    <n v="5651"/>
    <n v="5212"/>
    <x v="25"/>
    <x v="4"/>
  </r>
  <r>
    <x v="26"/>
    <x v="0"/>
    <n v="74649"/>
    <n v="6098236.5"/>
    <n v="36"/>
    <n v="4915"/>
    <n v="4562"/>
    <x v="26"/>
    <x v="5"/>
  </r>
  <r>
    <x v="27"/>
    <x v="0"/>
    <n v="66316.5"/>
    <n v="5704650"/>
    <n v="36"/>
    <n v="4641"/>
    <n v="4274"/>
    <x v="27"/>
    <x v="6"/>
  </r>
  <r>
    <x v="28"/>
    <x v="0"/>
    <n v="67726.5"/>
    <n v="5864989.5"/>
    <n v="36"/>
    <n v="4770"/>
    <n v="4424"/>
    <x v="28"/>
    <x v="0"/>
  </r>
  <r>
    <x v="29"/>
    <x v="0"/>
    <n v="69010.5"/>
    <n v="5985894"/>
    <n v="36"/>
    <n v="4951"/>
    <n v="4584"/>
    <x v="29"/>
    <x v="1"/>
  </r>
  <r>
    <x v="30"/>
    <x v="0"/>
    <n v="69945"/>
    <n v="6101931"/>
    <n v="37"/>
    <n v="4840"/>
    <n v="4475"/>
    <x v="30"/>
    <x v="2"/>
  </r>
  <r>
    <x v="31"/>
    <x v="0"/>
    <n v="84433.5"/>
    <n v="7228395"/>
    <n v="37"/>
    <n v="5672"/>
    <n v="5198"/>
    <x v="31"/>
    <x v="3"/>
  </r>
  <r>
    <x v="32"/>
    <x v="0"/>
    <n v="106926"/>
    <n v="9098386.5"/>
    <n v="37"/>
    <n v="6645"/>
    <n v="6122"/>
    <x v="32"/>
    <x v="4"/>
  </r>
  <r>
    <x v="33"/>
    <x v="0"/>
    <n v="76234.5"/>
    <n v="6500848.5"/>
    <n v="37"/>
    <n v="5215"/>
    <n v="4848"/>
    <x v="33"/>
    <x v="5"/>
  </r>
  <r>
    <x v="34"/>
    <x v="0"/>
    <n v="64740"/>
    <n v="5800290"/>
    <n v="37"/>
    <n v="4722"/>
    <n v="4352"/>
    <x v="34"/>
    <x v="6"/>
  </r>
  <r>
    <x v="0"/>
    <x v="1"/>
    <n v="81826.5"/>
    <n v="7163644.5"/>
    <n v="31"/>
    <n v="5465"/>
    <n v="5096"/>
    <x v="35"/>
    <x v="0"/>
  </r>
  <r>
    <x v="1"/>
    <x v="1"/>
    <n v="79527"/>
    <n v="7180498.5"/>
    <n v="31"/>
    <n v="5378"/>
    <n v="4985"/>
    <x v="36"/>
    <x v="1"/>
  </r>
  <r>
    <x v="2"/>
    <x v="1"/>
    <n v="77565"/>
    <n v="7023727.5"/>
    <n v="31"/>
    <n v="5120"/>
    <n v="4737"/>
    <x v="37"/>
    <x v="2"/>
  </r>
  <r>
    <x v="3"/>
    <x v="1"/>
    <n v="97534.5"/>
    <n v="8893024.5"/>
    <n v="31"/>
    <n v="6118"/>
    <n v="5564"/>
    <x v="38"/>
    <x v="3"/>
  </r>
  <r>
    <x v="4"/>
    <x v="1"/>
    <n v="60463.5"/>
    <n v="5554192.5"/>
    <n v="31"/>
    <n v="4157"/>
    <n v="3823"/>
    <x v="39"/>
    <x v="4"/>
  </r>
  <r>
    <x v="5"/>
    <x v="1"/>
    <n v="77263.5"/>
    <n v="7013670"/>
    <n v="31"/>
    <n v="5155"/>
    <n v="4762"/>
    <x v="40"/>
    <x v="5"/>
  </r>
  <r>
    <x v="6"/>
    <x v="1"/>
    <n v="72928.5"/>
    <n v="6642249"/>
    <n v="31"/>
    <n v="4968"/>
    <n v="4596"/>
    <x v="41"/>
    <x v="6"/>
  </r>
  <r>
    <x v="7"/>
    <x v="1"/>
    <n v="76585.5"/>
    <n v="6921316.5"/>
    <n v="31"/>
    <n v="5188"/>
    <n v="4800"/>
    <x v="42"/>
    <x v="0"/>
  </r>
  <r>
    <x v="8"/>
    <x v="1"/>
    <n v="68994"/>
    <n v="6168657"/>
    <n v="31"/>
    <n v="4709"/>
    <n v="4348"/>
    <x v="43"/>
    <x v="1"/>
  </r>
  <r>
    <x v="9"/>
    <x v="1"/>
    <n v="73204.5"/>
    <n v="6591883.5"/>
    <n v="31"/>
    <n v="4903"/>
    <n v="4527"/>
    <x v="44"/>
    <x v="2"/>
  </r>
  <r>
    <x v="10"/>
    <x v="1"/>
    <n v="69544.5"/>
    <n v="6293776.5"/>
    <n v="31"/>
    <n v="4635"/>
    <n v="4266"/>
    <x v="45"/>
    <x v="3"/>
  </r>
  <r>
    <x v="11"/>
    <x v="1"/>
    <n v="69720"/>
    <n v="6264933"/>
    <n v="31"/>
    <n v="4556"/>
    <n v="4220"/>
    <x v="46"/>
    <x v="4"/>
  </r>
  <r>
    <x v="12"/>
    <x v="1"/>
    <n v="84132"/>
    <n v="7483194"/>
    <n v="31"/>
    <n v="5495"/>
    <n v="5093"/>
    <x v="47"/>
    <x v="5"/>
  </r>
  <r>
    <x v="13"/>
    <x v="1"/>
    <n v="72220.5"/>
    <n v="6398719.5"/>
    <n v="31"/>
    <n v="4826"/>
    <n v="4483"/>
    <x v="48"/>
    <x v="6"/>
  </r>
  <r>
    <x v="14"/>
    <x v="1"/>
    <n v="71520"/>
    <n v="6398361"/>
    <n v="31"/>
    <n v="4800"/>
    <n v="4470"/>
    <x v="49"/>
    <x v="0"/>
  </r>
  <r>
    <x v="15"/>
    <x v="1"/>
    <n v="78846"/>
    <n v="6993952.5"/>
    <n v="31"/>
    <n v="5251"/>
    <n v="4853"/>
    <x v="50"/>
    <x v="1"/>
  </r>
  <r>
    <x v="16"/>
    <x v="1"/>
    <n v="70498.5"/>
    <n v="6053649"/>
    <n v="31"/>
    <n v="4695"/>
    <n v="4372"/>
    <x v="51"/>
    <x v="2"/>
  </r>
  <r>
    <x v="17"/>
    <x v="1"/>
    <n v="78961.5"/>
    <n v="6876454.5"/>
    <n v="31"/>
    <n v="5184"/>
    <n v="4778"/>
    <x v="52"/>
    <x v="3"/>
  </r>
  <r>
    <x v="18"/>
    <x v="1"/>
    <n v="88063.5"/>
    <n v="7583758.5"/>
    <n v="31"/>
    <n v="5593"/>
    <n v="5177"/>
    <x v="53"/>
    <x v="4"/>
  </r>
  <r>
    <x v="19"/>
    <x v="1"/>
    <n v="78057"/>
    <n v="6774946.5"/>
    <n v="31"/>
    <n v="5206"/>
    <n v="4843"/>
    <x v="54"/>
    <x v="5"/>
  </r>
  <r>
    <x v="20"/>
    <x v="1"/>
    <n v="78058.5"/>
    <n v="6609714"/>
    <n v="31"/>
    <n v="5165"/>
    <n v="4813"/>
    <x v="55"/>
    <x v="6"/>
  </r>
  <r>
    <x v="21"/>
    <x v="1"/>
    <n v="84024"/>
    <n v="6815511"/>
    <n v="31"/>
    <n v="5389"/>
    <n v="5024"/>
    <x v="56"/>
    <x v="0"/>
  </r>
  <r>
    <x v="22"/>
    <x v="1"/>
    <n v="93313.5"/>
    <n v="7247575.5"/>
    <n v="31"/>
    <n v="5698"/>
    <n v="5258"/>
    <x v="57"/>
    <x v="1"/>
  </r>
  <r>
    <x v="23"/>
    <x v="1"/>
    <n v="79485"/>
    <n v="6633847.5"/>
    <n v="31"/>
    <n v="5207"/>
    <n v="4868"/>
    <x v="58"/>
    <x v="2"/>
  </r>
  <r>
    <x v="24"/>
    <x v="1"/>
    <n v="97963.5"/>
    <n v="7728465"/>
    <n v="31"/>
    <n v="5965"/>
    <n v="5533"/>
    <x v="59"/>
    <x v="3"/>
  </r>
  <r>
    <x v="25"/>
    <x v="1"/>
    <n v="102889.5"/>
    <n v="8089143"/>
    <n v="31"/>
    <n v="6276"/>
    <n v="5801"/>
    <x v="60"/>
    <x v="4"/>
  </r>
  <r>
    <x v="26"/>
    <x v="1"/>
    <n v="76663.5"/>
    <n v="6451032"/>
    <n v="31"/>
    <n v="5035"/>
    <n v="4683"/>
    <x v="61"/>
    <x v="5"/>
  </r>
  <r>
    <x v="27"/>
    <x v="1"/>
    <n v="76999.5"/>
    <n v="6645603"/>
    <n v="31"/>
    <n v="5210"/>
    <n v="4841"/>
    <x v="62"/>
    <x v="6"/>
  </r>
  <r>
    <x v="28"/>
    <x v="1"/>
    <n v="79975.5"/>
    <n v="6676459.5"/>
    <n v="31"/>
    <n v="5493"/>
    <n v="5119"/>
    <x v="63"/>
    <x v="0"/>
  </r>
  <r>
    <x v="29"/>
    <x v="1"/>
    <n v="78544.5"/>
    <n v="6701083.5"/>
    <n v="31"/>
    <n v="5330"/>
    <n v="4977"/>
    <x v="64"/>
    <x v="1"/>
  </r>
  <r>
    <x v="30"/>
    <x v="1"/>
    <n v="78141"/>
    <n v="6641569.5"/>
    <n v="31"/>
    <n v="5355"/>
    <n v="4969"/>
    <x v="65"/>
    <x v="2"/>
  </r>
  <r>
    <x v="31"/>
    <x v="1"/>
    <n v="87552"/>
    <n v="7387116"/>
    <n v="31"/>
    <n v="5751"/>
    <n v="5319"/>
    <x v="66"/>
    <x v="3"/>
  </r>
  <r>
    <x v="32"/>
    <x v="1"/>
    <n v="108123"/>
    <n v="9164707.5"/>
    <n v="31"/>
    <n v="6735"/>
    <n v="6264"/>
    <x v="67"/>
    <x v="4"/>
  </r>
  <r>
    <x v="33"/>
    <x v="1"/>
    <n v="89149.5"/>
    <n v="7512646.5"/>
    <n v="31"/>
    <n v="5760"/>
    <n v="5367"/>
    <x v="68"/>
    <x v="5"/>
  </r>
  <r>
    <x v="34"/>
    <x v="1"/>
    <n v="77269.5"/>
    <n v="6829921.5"/>
    <n v="31"/>
    <n v="5468"/>
    <n v="5081"/>
    <x v="69"/>
    <x v="6"/>
  </r>
  <r>
    <x v="0"/>
    <x v="2"/>
    <n v="32181"/>
    <n v="2863600.5"/>
    <n v="19"/>
    <n v="1846"/>
    <n v="1681"/>
    <x v="70"/>
    <x v="0"/>
  </r>
  <r>
    <x v="1"/>
    <x v="2"/>
    <n v="29142"/>
    <n v="2627595"/>
    <n v="19"/>
    <n v="1676"/>
    <n v="1516"/>
    <x v="71"/>
    <x v="1"/>
  </r>
  <r>
    <x v="2"/>
    <x v="2"/>
    <n v="31231.5"/>
    <n v="2853310.5"/>
    <n v="20"/>
    <n v="1756"/>
    <n v="1586"/>
    <x v="72"/>
    <x v="2"/>
  </r>
  <r>
    <x v="3"/>
    <x v="2"/>
    <n v="46620"/>
    <n v="4293241.5"/>
    <n v="20"/>
    <n v="2468"/>
    <n v="2221"/>
    <x v="73"/>
    <x v="3"/>
  </r>
  <r>
    <x v="4"/>
    <x v="2"/>
    <n v="26428.5"/>
    <n v="2470465.5"/>
    <n v="20"/>
    <n v="1613"/>
    <n v="1457"/>
    <x v="74"/>
    <x v="4"/>
  </r>
  <r>
    <x v="5"/>
    <x v="2"/>
    <n v="29935.5"/>
    <n v="2720002.5"/>
    <n v="20"/>
    <n v="1716"/>
    <n v="1561"/>
    <x v="75"/>
    <x v="5"/>
  </r>
  <r>
    <x v="6"/>
    <x v="2"/>
    <n v="30780"/>
    <n v="2817853.5"/>
    <n v="20"/>
    <n v="1804"/>
    <n v="1638"/>
    <x v="76"/>
    <x v="6"/>
  </r>
  <r>
    <x v="7"/>
    <x v="2"/>
    <n v="29482.5"/>
    <n v="2648688"/>
    <n v="20"/>
    <n v="1757"/>
    <n v="1596"/>
    <x v="77"/>
    <x v="0"/>
  </r>
  <r>
    <x v="8"/>
    <x v="2"/>
    <n v="30342"/>
    <n v="2738127"/>
    <n v="20"/>
    <n v="1747"/>
    <n v="1570"/>
    <x v="78"/>
    <x v="1"/>
  </r>
  <r>
    <x v="9"/>
    <x v="2"/>
    <n v="32851.5"/>
    <n v="2934504"/>
    <n v="21"/>
    <n v="1879"/>
    <n v="1695"/>
    <x v="79"/>
    <x v="2"/>
  </r>
  <r>
    <x v="10"/>
    <x v="2"/>
    <n v="34399.5"/>
    <n v="3201358.5"/>
    <n v="21"/>
    <n v="1957"/>
    <n v="1755"/>
    <x v="80"/>
    <x v="3"/>
  </r>
  <r>
    <x v="11"/>
    <x v="2"/>
    <n v="32239.5"/>
    <n v="3084892.5"/>
    <n v="21"/>
    <n v="1891"/>
    <n v="1709"/>
    <x v="81"/>
    <x v="4"/>
  </r>
  <r>
    <x v="12"/>
    <x v="2"/>
    <n v="37489.5"/>
    <n v="3549097.5"/>
    <n v="21"/>
    <n v="2120"/>
    <n v="1921"/>
    <x v="82"/>
    <x v="5"/>
  </r>
  <r>
    <x v="13"/>
    <x v="2"/>
    <n v="32733"/>
    <n v="3079630.5"/>
    <n v="21"/>
    <n v="1916"/>
    <n v="1733"/>
    <x v="83"/>
    <x v="6"/>
  </r>
  <r>
    <x v="14"/>
    <x v="2"/>
    <n v="32419.5"/>
    <n v="3080614.5"/>
    <n v="21"/>
    <n v="1926"/>
    <n v="1745"/>
    <x v="84"/>
    <x v="0"/>
  </r>
  <r>
    <x v="15"/>
    <x v="2"/>
    <n v="35535"/>
    <n v="3288069"/>
    <n v="21"/>
    <n v="2061"/>
    <n v="1876"/>
    <x v="85"/>
    <x v="1"/>
  </r>
  <r>
    <x v="16"/>
    <x v="2"/>
    <n v="33886.5"/>
    <n v="3166479"/>
    <n v="21"/>
    <n v="1993"/>
    <n v="1796"/>
    <x v="86"/>
    <x v="2"/>
  </r>
  <r>
    <x v="17"/>
    <x v="2"/>
    <n v="41697"/>
    <n v="3772258.5"/>
    <n v="21"/>
    <n v="2255"/>
    <n v="2045"/>
    <x v="87"/>
    <x v="3"/>
  </r>
  <r>
    <x v="18"/>
    <x v="2"/>
    <n v="44560.5"/>
    <n v="4025148"/>
    <n v="21"/>
    <n v="2427"/>
    <n v="2213"/>
    <x v="88"/>
    <x v="4"/>
  </r>
  <r>
    <x v="19"/>
    <x v="2"/>
    <n v="34830"/>
    <n v="3191155.5"/>
    <n v="21"/>
    <n v="2054"/>
    <n v="1883"/>
    <x v="89"/>
    <x v="5"/>
  </r>
  <r>
    <x v="20"/>
    <x v="2"/>
    <n v="36655.5"/>
    <n v="3360135"/>
    <n v="21"/>
    <n v="2136"/>
    <n v="1947"/>
    <x v="90"/>
    <x v="6"/>
  </r>
  <r>
    <x v="21"/>
    <x v="2"/>
    <n v="38250"/>
    <n v="3552937.5"/>
    <n v="21"/>
    <n v="2245"/>
    <n v="2053"/>
    <x v="91"/>
    <x v="0"/>
  </r>
  <r>
    <x v="22"/>
    <x v="2"/>
    <n v="41391"/>
    <n v="3918987"/>
    <n v="21"/>
    <n v="2410"/>
    <n v="2202"/>
    <x v="92"/>
    <x v="1"/>
  </r>
  <r>
    <x v="23"/>
    <x v="2"/>
    <n v="40819.5"/>
    <n v="3810394.5"/>
    <n v="21"/>
    <n v="2335"/>
    <n v="2126"/>
    <x v="93"/>
    <x v="2"/>
  </r>
  <r>
    <x v="24"/>
    <x v="2"/>
    <n v="53838"/>
    <n v="4840833"/>
    <n v="21"/>
    <n v="2861"/>
    <n v="2612"/>
    <x v="94"/>
    <x v="3"/>
  </r>
  <r>
    <x v="25"/>
    <x v="2"/>
    <n v="42999"/>
    <n v="3883215"/>
    <n v="21"/>
    <n v="2460"/>
    <n v="2226"/>
    <x v="95"/>
    <x v="4"/>
  </r>
  <r>
    <x v="26"/>
    <x v="2"/>
    <n v="38194.5"/>
    <n v="3449302.5"/>
    <n v="21"/>
    <n v="2254"/>
    <n v="2061"/>
    <x v="96"/>
    <x v="5"/>
  </r>
  <r>
    <x v="27"/>
    <x v="2"/>
    <n v="38740.5"/>
    <n v="3561655.5"/>
    <n v="21"/>
    <n v="2330"/>
    <n v="2142"/>
    <x v="97"/>
    <x v="6"/>
  </r>
  <r>
    <x v="28"/>
    <x v="2"/>
    <n v="40744.5"/>
    <n v="3700311"/>
    <n v="21"/>
    <n v="2418"/>
    <n v="2215"/>
    <x v="98"/>
    <x v="0"/>
  </r>
  <r>
    <x v="29"/>
    <x v="2"/>
    <n v="40420.5"/>
    <n v="3780852"/>
    <n v="21"/>
    <n v="2430"/>
    <n v="2216"/>
    <x v="99"/>
    <x v="1"/>
  </r>
  <r>
    <x v="30"/>
    <x v="2"/>
    <n v="41442"/>
    <n v="3893680.5"/>
    <n v="22"/>
    <n v="2454"/>
    <n v="2239"/>
    <x v="100"/>
    <x v="2"/>
  </r>
  <r>
    <x v="31"/>
    <x v="2"/>
    <n v="44569.5"/>
    <n v="4108596"/>
    <n v="22"/>
    <n v="2597"/>
    <n v="2379"/>
    <x v="101"/>
    <x v="3"/>
  </r>
  <r>
    <x v="32"/>
    <x v="2"/>
    <n v="48286.5"/>
    <n v="4456441.5"/>
    <n v="22"/>
    <n v="2793"/>
    <n v="2539"/>
    <x v="102"/>
    <x v="4"/>
  </r>
  <r>
    <x v="33"/>
    <x v="2"/>
    <n v="42423"/>
    <n v="3994153.5"/>
    <n v="23"/>
    <n v="2522"/>
    <n v="2295"/>
    <x v="103"/>
    <x v="5"/>
  </r>
  <r>
    <x v="34"/>
    <x v="2"/>
    <n v="40528.5"/>
    <n v="3865251"/>
    <n v="23"/>
    <n v="2531"/>
    <n v="2296"/>
    <x v="104"/>
    <x v="6"/>
  </r>
  <r>
    <x v="0"/>
    <x v="3"/>
    <n v="26940"/>
    <n v="2411587.5"/>
    <n v="18"/>
    <n v="1539"/>
    <n v="1404"/>
    <x v="105"/>
    <x v="0"/>
  </r>
  <r>
    <x v="1"/>
    <x v="3"/>
    <n v="29319"/>
    <n v="2623480.5"/>
    <n v="18"/>
    <n v="1684"/>
    <n v="1528"/>
    <x v="106"/>
    <x v="1"/>
  </r>
  <r>
    <x v="2"/>
    <x v="3"/>
    <n v="30445.5"/>
    <n v="2817196.5"/>
    <n v="19"/>
    <n v="1712"/>
    <n v="1552"/>
    <x v="107"/>
    <x v="2"/>
  </r>
  <r>
    <x v="3"/>
    <x v="3"/>
    <n v="32487"/>
    <n v="3031254"/>
    <n v="18"/>
    <n v="1826"/>
    <n v="1633"/>
    <x v="108"/>
    <x v="3"/>
  </r>
  <r>
    <x v="4"/>
    <x v="3"/>
    <n v="29031"/>
    <n v="2711247"/>
    <n v="18"/>
    <n v="1708"/>
    <n v="1534"/>
    <x v="109"/>
    <x v="4"/>
  </r>
  <r>
    <x v="5"/>
    <x v="3"/>
    <n v="26082"/>
    <n v="2434914"/>
    <n v="20"/>
    <n v="1520"/>
    <n v="1373"/>
    <x v="110"/>
    <x v="5"/>
  </r>
  <r>
    <x v="6"/>
    <x v="3"/>
    <n v="25566"/>
    <n v="2372310"/>
    <n v="20"/>
    <n v="1519"/>
    <n v="1372"/>
    <x v="111"/>
    <x v="6"/>
  </r>
  <r>
    <x v="7"/>
    <x v="3"/>
    <n v="31566"/>
    <n v="2906763"/>
    <n v="20"/>
    <n v="1773"/>
    <n v="1604"/>
    <x v="112"/>
    <x v="0"/>
  </r>
  <r>
    <x v="8"/>
    <x v="3"/>
    <n v="32511"/>
    <n v="2938623"/>
    <n v="20"/>
    <n v="1784"/>
    <n v="1632"/>
    <x v="113"/>
    <x v="1"/>
  </r>
  <r>
    <x v="9"/>
    <x v="3"/>
    <n v="27018"/>
    <n v="2472213"/>
    <n v="21"/>
    <n v="1542"/>
    <n v="1405"/>
    <x v="114"/>
    <x v="2"/>
  </r>
  <r>
    <x v="10"/>
    <x v="3"/>
    <n v="29409"/>
    <n v="2645160"/>
    <n v="21"/>
    <n v="1646"/>
    <n v="1492"/>
    <x v="115"/>
    <x v="3"/>
  </r>
  <r>
    <x v="11"/>
    <x v="3"/>
    <n v="31147.5"/>
    <n v="2831019"/>
    <n v="21"/>
    <n v="1735"/>
    <n v="1568"/>
    <x v="116"/>
    <x v="4"/>
  </r>
  <r>
    <x v="12"/>
    <x v="3"/>
    <n v="36619.5"/>
    <n v="3312967.5"/>
    <n v="21"/>
    <n v="2016"/>
    <n v="1846"/>
    <x v="117"/>
    <x v="5"/>
  </r>
  <r>
    <x v="13"/>
    <x v="3"/>
    <n v="27187.5"/>
    <n v="2479396.5"/>
    <n v="21"/>
    <n v="1597"/>
    <n v="1457"/>
    <x v="118"/>
    <x v="6"/>
  </r>
  <r>
    <x v="14"/>
    <x v="3"/>
    <n v="28219.5"/>
    <n v="2595778.5"/>
    <n v="21"/>
    <n v="1656"/>
    <n v="1516"/>
    <x v="119"/>
    <x v="0"/>
  </r>
  <r>
    <x v="15"/>
    <x v="3"/>
    <n v="29241"/>
    <n v="2629782"/>
    <n v="21"/>
    <n v="1698"/>
    <n v="1554"/>
    <x v="120"/>
    <x v="1"/>
  </r>
  <r>
    <x v="16"/>
    <x v="3"/>
    <n v="29658"/>
    <n v="2703132"/>
    <n v="21"/>
    <n v="1706"/>
    <n v="1548"/>
    <x v="121"/>
    <x v="2"/>
  </r>
  <r>
    <x v="17"/>
    <x v="3"/>
    <n v="34150.5"/>
    <n v="3038293.5"/>
    <n v="21"/>
    <n v="1926"/>
    <n v="1742"/>
    <x v="122"/>
    <x v="3"/>
  </r>
  <r>
    <x v="18"/>
    <x v="3"/>
    <n v="38947.5"/>
    <n v="3395892"/>
    <n v="21"/>
    <n v="2145"/>
    <n v="1947"/>
    <x v="123"/>
    <x v="4"/>
  </r>
  <r>
    <x v="19"/>
    <x v="3"/>
    <n v="32023.5"/>
    <n v="2882458.5"/>
    <n v="21"/>
    <n v="1874"/>
    <n v="1705"/>
    <x v="124"/>
    <x v="5"/>
  </r>
  <r>
    <x v="20"/>
    <x v="3"/>
    <n v="31329"/>
    <n v="2826379.5"/>
    <n v="21"/>
    <n v="1834"/>
    <n v="1660"/>
    <x v="125"/>
    <x v="6"/>
  </r>
  <r>
    <x v="21"/>
    <x v="3"/>
    <n v="31842"/>
    <n v="2771116.5"/>
    <n v="21"/>
    <n v="1860"/>
    <n v="1704"/>
    <x v="126"/>
    <x v="0"/>
  </r>
  <r>
    <x v="22"/>
    <x v="3"/>
    <n v="34077"/>
    <n v="2929330.5"/>
    <n v="21"/>
    <n v="1921"/>
    <n v="1767"/>
    <x v="127"/>
    <x v="1"/>
  </r>
  <r>
    <x v="23"/>
    <x v="3"/>
    <n v="31272"/>
    <n v="2744382"/>
    <n v="21"/>
    <n v="1787"/>
    <n v="1626"/>
    <x v="128"/>
    <x v="2"/>
  </r>
  <r>
    <x v="24"/>
    <x v="3"/>
    <n v="36031.5"/>
    <n v="3091069.5"/>
    <n v="21"/>
    <n v="2046"/>
    <n v="1853"/>
    <x v="129"/>
    <x v="3"/>
  </r>
  <r>
    <x v="25"/>
    <x v="3"/>
    <n v="42703.5"/>
    <n v="3628726.5"/>
    <n v="21"/>
    <n v="2340"/>
    <n v="2146"/>
    <x v="130"/>
    <x v="4"/>
  </r>
  <r>
    <x v="26"/>
    <x v="3"/>
    <n v="34303.5"/>
    <n v="2924746.5"/>
    <n v="20"/>
    <n v="1999"/>
    <n v="1829"/>
    <x v="131"/>
    <x v="5"/>
  </r>
  <r>
    <x v="27"/>
    <x v="3"/>
    <n v="35592"/>
    <n v="3176580"/>
    <n v="20"/>
    <n v="2087"/>
    <n v="1914"/>
    <x v="132"/>
    <x v="6"/>
  </r>
  <r>
    <x v="28"/>
    <x v="3"/>
    <n v="33423"/>
    <n v="2970330"/>
    <n v="20"/>
    <n v="2044"/>
    <n v="1863"/>
    <x v="133"/>
    <x v="0"/>
  </r>
  <r>
    <x v="29"/>
    <x v="3"/>
    <n v="32817"/>
    <n v="3015751.5"/>
    <n v="20"/>
    <n v="2079"/>
    <n v="1893"/>
    <x v="134"/>
    <x v="1"/>
  </r>
  <r>
    <x v="30"/>
    <x v="3"/>
    <n v="30982.5"/>
    <n v="2827773"/>
    <n v="20"/>
    <n v="1886"/>
    <n v="1736"/>
    <x v="135"/>
    <x v="2"/>
  </r>
  <r>
    <x v="31"/>
    <x v="3"/>
    <n v="35431.5"/>
    <n v="3193167"/>
    <n v="20"/>
    <n v="2111"/>
    <n v="1917"/>
    <x v="136"/>
    <x v="3"/>
  </r>
  <r>
    <x v="32"/>
    <x v="3"/>
    <n v="44001"/>
    <n v="3921784.5"/>
    <n v="20"/>
    <n v="2597"/>
    <n v="2376"/>
    <x v="137"/>
    <x v="4"/>
  </r>
  <r>
    <x v="33"/>
    <x v="3"/>
    <n v="36999"/>
    <n v="3473895"/>
    <n v="21"/>
    <n v="2271"/>
    <n v="2085"/>
    <x v="138"/>
    <x v="5"/>
  </r>
  <r>
    <x v="34"/>
    <x v="3"/>
    <n v="31947"/>
    <n v="2945035.5"/>
    <n v="21"/>
    <n v="2025"/>
    <n v="1849"/>
    <x v="139"/>
    <x v="6"/>
  </r>
  <r>
    <x v="0"/>
    <x v="4"/>
    <n v="25149"/>
    <n v="2277072"/>
    <n v="18"/>
    <n v="1505"/>
    <n v="1368"/>
    <x v="140"/>
    <x v="0"/>
  </r>
  <r>
    <x v="1"/>
    <x v="4"/>
    <n v="25816.5"/>
    <n v="2360914.5"/>
    <n v="18"/>
    <n v="1599"/>
    <n v="1450"/>
    <x v="141"/>
    <x v="1"/>
  </r>
  <r>
    <x v="2"/>
    <x v="4"/>
    <n v="27883.5"/>
    <n v="2560080"/>
    <n v="19"/>
    <n v="1662"/>
    <n v="1506"/>
    <x v="142"/>
    <x v="2"/>
  </r>
  <r>
    <x v="3"/>
    <x v="4"/>
    <n v="35190"/>
    <n v="3168510"/>
    <n v="19"/>
    <n v="1987"/>
    <n v="1791"/>
    <x v="143"/>
    <x v="3"/>
  </r>
  <r>
    <x v="4"/>
    <x v="4"/>
    <n v="18427.5"/>
    <n v="1682851.5"/>
    <n v="19"/>
    <n v="1206"/>
    <n v="1080"/>
    <x v="144"/>
    <x v="4"/>
  </r>
  <r>
    <x v="5"/>
    <x v="4"/>
    <n v="21343.5"/>
    <n v="1906557"/>
    <n v="19"/>
    <n v="1314"/>
    <n v="1192"/>
    <x v="145"/>
    <x v="5"/>
  </r>
  <r>
    <x v="6"/>
    <x v="4"/>
    <n v="23587.5"/>
    <n v="2155668"/>
    <n v="19"/>
    <n v="1479"/>
    <n v="1346"/>
    <x v="146"/>
    <x v="6"/>
  </r>
  <r>
    <x v="7"/>
    <x v="4"/>
    <n v="26367"/>
    <n v="2380333.5"/>
    <n v="19"/>
    <n v="1622"/>
    <n v="1482"/>
    <x v="147"/>
    <x v="0"/>
  </r>
  <r>
    <x v="8"/>
    <x v="4"/>
    <n v="24337.5"/>
    <n v="2159350.5"/>
    <n v="19"/>
    <n v="1509"/>
    <n v="1374"/>
    <x v="148"/>
    <x v="1"/>
  </r>
  <r>
    <x v="9"/>
    <x v="4"/>
    <n v="26184"/>
    <n v="2308336.5"/>
    <n v="19"/>
    <n v="1580"/>
    <n v="1435"/>
    <x v="149"/>
    <x v="2"/>
  </r>
  <r>
    <x v="10"/>
    <x v="4"/>
    <n v="25020"/>
    <n v="2235960"/>
    <n v="19"/>
    <n v="1520"/>
    <n v="1380"/>
    <x v="150"/>
    <x v="3"/>
  </r>
  <r>
    <x v="11"/>
    <x v="4"/>
    <n v="26271"/>
    <n v="2384937"/>
    <n v="19"/>
    <n v="1542"/>
    <n v="1412"/>
    <x v="151"/>
    <x v="4"/>
  </r>
  <r>
    <x v="12"/>
    <x v="4"/>
    <n v="31224"/>
    <n v="2767270.5"/>
    <n v="19"/>
    <n v="1836"/>
    <n v="1680"/>
    <x v="152"/>
    <x v="5"/>
  </r>
  <r>
    <x v="13"/>
    <x v="4"/>
    <n v="23629.5"/>
    <n v="2164365"/>
    <n v="19"/>
    <n v="1527"/>
    <n v="1389"/>
    <x v="153"/>
    <x v="6"/>
  </r>
  <r>
    <x v="14"/>
    <x v="4"/>
    <n v="25483.5"/>
    <n v="2243160"/>
    <n v="19"/>
    <n v="1598"/>
    <n v="1454"/>
    <x v="154"/>
    <x v="0"/>
  </r>
  <r>
    <x v="15"/>
    <x v="4"/>
    <n v="25539"/>
    <n v="2263651.5"/>
    <n v="19"/>
    <n v="1605"/>
    <n v="1447"/>
    <x v="155"/>
    <x v="1"/>
  </r>
  <r>
    <x v="16"/>
    <x v="4"/>
    <n v="25656"/>
    <n v="2225341.5"/>
    <n v="19"/>
    <n v="1635"/>
    <n v="1487"/>
    <x v="156"/>
    <x v="2"/>
  </r>
  <r>
    <x v="17"/>
    <x v="4"/>
    <n v="29283"/>
    <n v="2477487"/>
    <n v="19"/>
    <n v="1780"/>
    <n v="1615"/>
    <x v="157"/>
    <x v="3"/>
  </r>
  <r>
    <x v="18"/>
    <x v="4"/>
    <n v="34563"/>
    <n v="2922883.5"/>
    <n v="19"/>
    <n v="2039"/>
    <n v="1868"/>
    <x v="158"/>
    <x v="4"/>
  </r>
  <r>
    <x v="19"/>
    <x v="4"/>
    <n v="28275"/>
    <n v="2435632.5"/>
    <n v="19"/>
    <n v="1790"/>
    <n v="1633"/>
    <x v="159"/>
    <x v="5"/>
  </r>
  <r>
    <x v="20"/>
    <x v="4"/>
    <n v="27181.5"/>
    <n v="2324490"/>
    <n v="19"/>
    <n v="1741"/>
    <n v="1597"/>
    <x v="160"/>
    <x v="6"/>
  </r>
  <r>
    <x v="21"/>
    <x v="4"/>
    <n v="28882.5"/>
    <n v="2446530"/>
    <n v="19"/>
    <n v="1831"/>
    <n v="1667"/>
    <x v="161"/>
    <x v="0"/>
  </r>
  <r>
    <x v="22"/>
    <x v="4"/>
    <n v="28849.5"/>
    <n v="2520759"/>
    <n v="19"/>
    <n v="1823"/>
    <n v="1678"/>
    <x v="162"/>
    <x v="1"/>
  </r>
  <r>
    <x v="23"/>
    <x v="4"/>
    <n v="25362"/>
    <n v="2198935.5"/>
    <n v="19"/>
    <n v="1650"/>
    <n v="1505"/>
    <x v="163"/>
    <x v="2"/>
  </r>
  <r>
    <x v="24"/>
    <x v="4"/>
    <n v="30781.5"/>
    <n v="2540715"/>
    <n v="19"/>
    <n v="1859"/>
    <n v="1697"/>
    <x v="164"/>
    <x v="3"/>
  </r>
  <r>
    <x v="25"/>
    <x v="4"/>
    <n v="36997.5"/>
    <n v="3089140.5"/>
    <n v="19"/>
    <n v="2195"/>
    <n v="1999"/>
    <x v="165"/>
    <x v="4"/>
  </r>
  <r>
    <x v="26"/>
    <x v="4"/>
    <n v="29824.5"/>
    <n v="2526909"/>
    <n v="19"/>
    <n v="1868"/>
    <n v="1706"/>
    <x v="166"/>
    <x v="5"/>
  </r>
  <r>
    <x v="27"/>
    <x v="4"/>
    <n v="28494"/>
    <n v="2512803"/>
    <n v="20"/>
    <n v="1899"/>
    <n v="1738"/>
    <x v="167"/>
    <x v="6"/>
  </r>
  <r>
    <x v="28"/>
    <x v="4"/>
    <n v="27156"/>
    <n v="2410803"/>
    <n v="20"/>
    <n v="1814"/>
    <n v="1655"/>
    <x v="168"/>
    <x v="0"/>
  </r>
  <r>
    <x v="29"/>
    <x v="4"/>
    <n v="28050"/>
    <n v="2458555.5"/>
    <n v="20"/>
    <n v="1873"/>
    <n v="1715"/>
    <x v="169"/>
    <x v="1"/>
  </r>
  <r>
    <x v="30"/>
    <x v="4"/>
    <n v="28197"/>
    <n v="2559211.5"/>
    <n v="20"/>
    <n v="1875"/>
    <n v="1701"/>
    <x v="170"/>
    <x v="2"/>
  </r>
  <r>
    <x v="31"/>
    <x v="4"/>
    <n v="32782.5"/>
    <n v="2854741.5"/>
    <n v="20"/>
    <n v="2064"/>
    <n v="1896"/>
    <x v="171"/>
    <x v="3"/>
  </r>
  <r>
    <x v="32"/>
    <x v="4"/>
    <n v="34681.5"/>
    <n v="3005334"/>
    <n v="20"/>
    <n v="2174"/>
    <n v="1957"/>
    <x v="172"/>
    <x v="4"/>
  </r>
  <r>
    <x v="33"/>
    <x v="4"/>
    <n v="31372.5"/>
    <n v="2794324.5"/>
    <n v="21"/>
    <n v="2056"/>
    <n v="1879"/>
    <x v="173"/>
    <x v="5"/>
  </r>
  <r>
    <x v="34"/>
    <x v="4"/>
    <n v="27960"/>
    <n v="2538967.5"/>
    <n v="21"/>
    <n v="1879"/>
    <n v="1720"/>
    <x v="174"/>
    <x v="6"/>
  </r>
  <r>
    <x v="0"/>
    <x v="5"/>
    <n v="195705"/>
    <n v="20003263.5"/>
    <n v="54"/>
    <n v="12306"/>
    <n v="11532"/>
    <x v="175"/>
    <x v="0"/>
  </r>
  <r>
    <x v="1"/>
    <x v="5"/>
    <n v="203209.5"/>
    <n v="20871391.5"/>
    <n v="54"/>
    <n v="12747"/>
    <n v="11884"/>
    <x v="176"/>
    <x v="1"/>
  </r>
  <r>
    <x v="2"/>
    <x v="5"/>
    <n v="206038.5"/>
    <n v="21740460"/>
    <n v="54"/>
    <n v="12817"/>
    <n v="11865"/>
    <x v="177"/>
    <x v="2"/>
  </r>
  <r>
    <x v="3"/>
    <x v="5"/>
    <n v="226540.5"/>
    <n v="23953536"/>
    <n v="54"/>
    <n v="14205"/>
    <n v="13026"/>
    <x v="178"/>
    <x v="3"/>
  </r>
  <r>
    <x v="4"/>
    <x v="5"/>
    <n v="176397"/>
    <n v="18625921.5"/>
    <n v="54"/>
    <n v="11622"/>
    <n v="10754"/>
    <x v="179"/>
    <x v="4"/>
  </r>
  <r>
    <x v="5"/>
    <x v="5"/>
    <n v="248148"/>
    <n v="25519072.5"/>
    <n v="54"/>
    <n v="14823"/>
    <n v="13751"/>
    <x v="180"/>
    <x v="5"/>
  </r>
  <r>
    <x v="6"/>
    <x v="5"/>
    <n v="223617"/>
    <n v="22796827.5"/>
    <n v="54"/>
    <n v="13606"/>
    <n v="12697"/>
    <x v="181"/>
    <x v="6"/>
  </r>
  <r>
    <x v="7"/>
    <x v="5"/>
    <n v="203832"/>
    <n v="20880142.5"/>
    <n v="54"/>
    <n v="12775"/>
    <n v="11887"/>
    <x v="182"/>
    <x v="0"/>
  </r>
  <r>
    <x v="8"/>
    <x v="5"/>
    <n v="216498"/>
    <n v="22126444.5"/>
    <n v="54"/>
    <n v="13406"/>
    <n v="12518"/>
    <x v="183"/>
    <x v="1"/>
  </r>
  <r>
    <x v="9"/>
    <x v="5"/>
    <n v="209415"/>
    <n v="21463023"/>
    <n v="54"/>
    <n v="12743"/>
    <n v="11858"/>
    <x v="184"/>
    <x v="2"/>
  </r>
  <r>
    <x v="10"/>
    <x v="5"/>
    <n v="225076.5"/>
    <n v="22846078.5"/>
    <n v="54"/>
    <n v="13563"/>
    <n v="12604"/>
    <x v="185"/>
    <x v="3"/>
  </r>
  <r>
    <x v="11"/>
    <x v="5"/>
    <n v="177976.5"/>
    <n v="18085798.5"/>
    <n v="54"/>
    <n v="11288"/>
    <n v="10492"/>
    <x v="186"/>
    <x v="4"/>
  </r>
  <r>
    <x v="12"/>
    <x v="5"/>
    <n v="231559.5"/>
    <n v="23443725"/>
    <n v="54"/>
    <n v="13832"/>
    <n v="12864"/>
    <x v="187"/>
    <x v="5"/>
  </r>
  <r>
    <x v="13"/>
    <x v="5"/>
    <n v="166948.5"/>
    <n v="16971231"/>
    <n v="54"/>
    <n v="10570"/>
    <n v="9926"/>
    <x v="188"/>
    <x v="6"/>
  </r>
  <r>
    <x v="14"/>
    <x v="5"/>
    <n v="189679.5"/>
    <n v="18718036.5"/>
    <n v="54"/>
    <n v="11614"/>
    <n v="10862"/>
    <x v="189"/>
    <x v="0"/>
  </r>
  <r>
    <x v="15"/>
    <x v="5"/>
    <n v="188662.5"/>
    <n v="18784000.5"/>
    <n v="54"/>
    <n v="11522"/>
    <n v="10803"/>
    <x v="190"/>
    <x v="1"/>
  </r>
  <r>
    <x v="16"/>
    <x v="5"/>
    <n v="186496.5"/>
    <n v="18640998"/>
    <n v="54"/>
    <n v="11194"/>
    <n v="10554"/>
    <x v="191"/>
    <x v="2"/>
  </r>
  <r>
    <x v="17"/>
    <x v="5"/>
    <n v="219772.5"/>
    <n v="21895294.5"/>
    <n v="54"/>
    <n v="12791"/>
    <n v="11950"/>
    <x v="192"/>
    <x v="3"/>
  </r>
  <r>
    <x v="18"/>
    <x v="5"/>
    <n v="225480"/>
    <n v="22355338.5"/>
    <n v="54"/>
    <n v="13170"/>
    <n v="12299"/>
    <x v="193"/>
    <x v="4"/>
  </r>
  <r>
    <x v="19"/>
    <x v="5"/>
    <n v="184801.5"/>
    <n v="18449091"/>
    <n v="54"/>
    <n v="11128"/>
    <n v="10467"/>
    <x v="194"/>
    <x v="5"/>
  </r>
  <r>
    <x v="20"/>
    <x v="5"/>
    <n v="196560"/>
    <n v="19855122"/>
    <n v="54"/>
    <n v="12012"/>
    <n v="11308"/>
    <x v="195"/>
    <x v="6"/>
  </r>
  <r>
    <x v="21"/>
    <x v="5"/>
    <n v="211453.5"/>
    <n v="20590072.5"/>
    <n v="54"/>
    <n v="13070"/>
    <n v="12244"/>
    <x v="196"/>
    <x v="0"/>
  </r>
  <r>
    <x v="22"/>
    <x v="5"/>
    <n v="214885.5"/>
    <n v="21411349.5"/>
    <n v="54"/>
    <n v="13298"/>
    <n v="12428"/>
    <x v="197"/>
    <x v="1"/>
  </r>
  <r>
    <x v="23"/>
    <x v="5"/>
    <n v="213640.5"/>
    <n v="21042673.5"/>
    <n v="54"/>
    <n v="13240"/>
    <n v="12360"/>
    <x v="198"/>
    <x v="2"/>
  </r>
  <r>
    <x v="24"/>
    <x v="5"/>
    <n v="214428"/>
    <n v="20812585.5"/>
    <n v="54"/>
    <n v="13014"/>
    <n v="12095"/>
    <x v="199"/>
    <x v="3"/>
  </r>
  <r>
    <x v="25"/>
    <x v="5"/>
    <n v="275793"/>
    <n v="26806626"/>
    <n v="54"/>
    <n v="16221"/>
    <n v="15065"/>
    <x v="200"/>
    <x v="4"/>
  </r>
  <r>
    <x v="26"/>
    <x v="5"/>
    <n v="193719"/>
    <n v="19071117"/>
    <n v="54"/>
    <n v="12211"/>
    <n v="11427"/>
    <x v="201"/>
    <x v="5"/>
  </r>
  <r>
    <x v="27"/>
    <x v="5"/>
    <n v="192948"/>
    <n v="19806927"/>
    <n v="54"/>
    <n v="12336"/>
    <n v="11519"/>
    <x v="202"/>
    <x v="6"/>
  </r>
  <r>
    <x v="28"/>
    <x v="5"/>
    <n v="232369.5"/>
    <n v="23856345"/>
    <n v="54"/>
    <n v="14482"/>
    <n v="13510"/>
    <x v="203"/>
    <x v="0"/>
  </r>
  <r>
    <x v="29"/>
    <x v="5"/>
    <n v="203532"/>
    <n v="20953324.5"/>
    <n v="54"/>
    <n v="13091"/>
    <n v="12216"/>
    <x v="204"/>
    <x v="1"/>
  </r>
  <r>
    <x v="30"/>
    <x v="5"/>
    <n v="191641.5"/>
    <n v="19549036.5"/>
    <n v="54"/>
    <n v="12409"/>
    <n v="11582"/>
    <x v="205"/>
    <x v="2"/>
  </r>
  <r>
    <x v="31"/>
    <x v="5"/>
    <n v="226476"/>
    <n v="22416151.5"/>
    <n v="54"/>
    <n v="14031"/>
    <n v="12943"/>
    <x v="206"/>
    <x v="3"/>
  </r>
  <r>
    <x v="32"/>
    <x v="5"/>
    <n v="244734"/>
    <n v="24151980"/>
    <n v="54"/>
    <n v="14590"/>
    <n v="13551"/>
    <x v="207"/>
    <x v="4"/>
  </r>
  <r>
    <x v="33"/>
    <x v="5"/>
    <n v="206758.5"/>
    <n v="20717248.5"/>
    <n v="54"/>
    <n v="13106"/>
    <n v="12164"/>
    <x v="208"/>
    <x v="5"/>
  </r>
  <r>
    <x v="34"/>
    <x v="5"/>
    <n v="183228"/>
    <n v="18914194.5"/>
    <n v="54"/>
    <n v="11864"/>
    <n v="11071"/>
    <x v="209"/>
    <x v="6"/>
  </r>
  <r>
    <x v="0"/>
    <x v="6"/>
    <n v="204637.5"/>
    <n v="21114898.5"/>
    <n v="59"/>
    <n v="12943"/>
    <n v="12072"/>
    <x v="210"/>
    <x v="0"/>
  </r>
  <r>
    <x v="1"/>
    <x v="6"/>
    <n v="208351.5"/>
    <n v="21615333"/>
    <n v="59"/>
    <n v="13186"/>
    <n v="12251"/>
    <x v="211"/>
    <x v="1"/>
  </r>
  <r>
    <x v="2"/>
    <x v="6"/>
    <n v="214386"/>
    <n v="22530000"/>
    <n v="59"/>
    <n v="13251"/>
    <n v="12255"/>
    <x v="212"/>
    <x v="2"/>
  </r>
  <r>
    <x v="3"/>
    <x v="6"/>
    <n v="239409"/>
    <n v="25413351"/>
    <n v="59"/>
    <n v="15222"/>
    <n v="13873"/>
    <x v="213"/>
    <x v="3"/>
  </r>
  <r>
    <x v="4"/>
    <x v="6"/>
    <n v="185979"/>
    <n v="19625364"/>
    <n v="59"/>
    <n v="12429"/>
    <n v="11477"/>
    <x v="214"/>
    <x v="4"/>
  </r>
  <r>
    <x v="5"/>
    <x v="6"/>
    <n v="257215.5"/>
    <n v="26492278.5"/>
    <n v="59"/>
    <n v="15277"/>
    <n v="14163"/>
    <x v="215"/>
    <x v="5"/>
  </r>
  <r>
    <x v="6"/>
    <x v="6"/>
    <n v="237544.5"/>
    <n v="24292218"/>
    <n v="59"/>
    <n v="14423"/>
    <n v="13432"/>
    <x v="216"/>
    <x v="6"/>
  </r>
  <r>
    <x v="7"/>
    <x v="6"/>
    <n v="213582"/>
    <n v="21919435.5"/>
    <n v="59"/>
    <n v="13469"/>
    <n v="12486"/>
    <x v="217"/>
    <x v="0"/>
  </r>
  <r>
    <x v="8"/>
    <x v="6"/>
    <n v="224779.5"/>
    <n v="23032992"/>
    <n v="59"/>
    <n v="14103"/>
    <n v="13118"/>
    <x v="218"/>
    <x v="1"/>
  </r>
  <r>
    <x v="9"/>
    <x v="6"/>
    <n v="219411"/>
    <n v="22460130"/>
    <n v="59"/>
    <n v="13495"/>
    <n v="12517"/>
    <x v="219"/>
    <x v="2"/>
  </r>
  <r>
    <x v="10"/>
    <x v="6"/>
    <n v="232701"/>
    <n v="23881948.5"/>
    <n v="59"/>
    <n v="14098"/>
    <n v="13106"/>
    <x v="220"/>
    <x v="3"/>
  </r>
  <r>
    <x v="11"/>
    <x v="6"/>
    <n v="188319"/>
    <n v="19218631.5"/>
    <n v="59"/>
    <n v="12016"/>
    <n v="11137"/>
    <x v="221"/>
    <x v="4"/>
  </r>
  <r>
    <x v="12"/>
    <x v="6"/>
    <n v="243825"/>
    <n v="24890404.5"/>
    <n v="59"/>
    <n v="14569"/>
    <n v="13566"/>
    <x v="222"/>
    <x v="5"/>
  </r>
  <r>
    <x v="13"/>
    <x v="6"/>
    <n v="175293"/>
    <n v="17919144"/>
    <n v="60"/>
    <n v="11100"/>
    <n v="10407"/>
    <x v="223"/>
    <x v="6"/>
  </r>
  <r>
    <x v="14"/>
    <x v="6"/>
    <n v="192886.5"/>
    <n v="19205179.5"/>
    <n v="60"/>
    <n v="12000"/>
    <n v="11194"/>
    <x v="224"/>
    <x v="0"/>
  </r>
  <r>
    <x v="15"/>
    <x v="6"/>
    <n v="193722"/>
    <n v="19437273"/>
    <n v="60"/>
    <n v="12007"/>
    <n v="11245"/>
    <x v="225"/>
    <x v="1"/>
  </r>
  <r>
    <x v="16"/>
    <x v="6"/>
    <n v="197946"/>
    <n v="19942435.5"/>
    <n v="60"/>
    <n v="11935"/>
    <n v="11178"/>
    <x v="226"/>
    <x v="2"/>
  </r>
  <r>
    <x v="17"/>
    <x v="6"/>
    <n v="230896.5"/>
    <n v="23085222"/>
    <n v="60"/>
    <n v="13544"/>
    <n v="12643"/>
    <x v="227"/>
    <x v="3"/>
  </r>
  <r>
    <x v="18"/>
    <x v="6"/>
    <n v="236551.5"/>
    <n v="23689383"/>
    <n v="60"/>
    <n v="14049"/>
    <n v="13118"/>
    <x v="228"/>
    <x v="4"/>
  </r>
  <r>
    <x v="19"/>
    <x v="6"/>
    <n v="193363.5"/>
    <n v="19546386"/>
    <n v="60"/>
    <n v="11698"/>
    <n v="10989"/>
    <x v="229"/>
    <x v="5"/>
  </r>
  <r>
    <x v="20"/>
    <x v="6"/>
    <n v="201999"/>
    <n v="20422435.5"/>
    <n v="60"/>
    <n v="12460"/>
    <n v="11665"/>
    <x v="230"/>
    <x v="6"/>
  </r>
  <r>
    <x v="21"/>
    <x v="6"/>
    <n v="223597.5"/>
    <n v="21945858"/>
    <n v="60"/>
    <n v="13867"/>
    <n v="12987"/>
    <x v="231"/>
    <x v="0"/>
  </r>
  <r>
    <x v="22"/>
    <x v="6"/>
    <n v="219622.5"/>
    <n v="21959286"/>
    <n v="60"/>
    <n v="13792"/>
    <n v="12834"/>
    <x v="232"/>
    <x v="1"/>
  </r>
  <r>
    <x v="23"/>
    <x v="6"/>
    <n v="224233.5"/>
    <n v="22253295"/>
    <n v="60"/>
    <n v="14005"/>
    <n v="13002"/>
    <x v="233"/>
    <x v="2"/>
  </r>
  <r>
    <x v="24"/>
    <x v="6"/>
    <n v="228334.5"/>
    <n v="22380772.5"/>
    <n v="60"/>
    <n v="14050"/>
    <n v="13027"/>
    <x v="234"/>
    <x v="3"/>
  </r>
  <r>
    <x v="25"/>
    <x v="6"/>
    <n v="292018.5"/>
    <n v="28590910.5"/>
    <n v="60"/>
    <n v="17295"/>
    <n v="16010"/>
    <x v="235"/>
    <x v="4"/>
  </r>
  <r>
    <x v="26"/>
    <x v="6"/>
    <n v="200029.5"/>
    <n v="19959801"/>
    <n v="60"/>
    <n v="12822"/>
    <n v="11916"/>
    <x v="236"/>
    <x v="5"/>
  </r>
  <r>
    <x v="27"/>
    <x v="6"/>
    <n v="198751.5"/>
    <n v="20582743.5"/>
    <n v="59"/>
    <n v="12983"/>
    <n v="12056"/>
    <x v="237"/>
    <x v="6"/>
  </r>
  <r>
    <x v="28"/>
    <x v="6"/>
    <n v="244905"/>
    <n v="25163431.5"/>
    <n v="59"/>
    <n v="15369"/>
    <n v="14299"/>
    <x v="238"/>
    <x v="0"/>
  </r>
  <r>
    <x v="29"/>
    <x v="6"/>
    <n v="215592"/>
    <n v="22342300.5"/>
    <n v="59"/>
    <n v="13942"/>
    <n v="12986"/>
    <x v="239"/>
    <x v="1"/>
  </r>
  <r>
    <x v="30"/>
    <x v="6"/>
    <n v="199753.5"/>
    <n v="20535733.5"/>
    <n v="60"/>
    <n v="12854"/>
    <n v="11954"/>
    <x v="240"/>
    <x v="2"/>
  </r>
  <r>
    <x v="31"/>
    <x v="6"/>
    <n v="232102.5"/>
    <n v="23120443.5"/>
    <n v="59"/>
    <n v="14507"/>
    <n v="13386"/>
    <x v="241"/>
    <x v="3"/>
  </r>
  <r>
    <x v="32"/>
    <x v="6"/>
    <n v="246414"/>
    <n v="24527245.5"/>
    <n v="59"/>
    <n v="15030"/>
    <n v="13956"/>
    <x v="242"/>
    <x v="4"/>
  </r>
  <r>
    <x v="33"/>
    <x v="6"/>
    <n v="215277"/>
    <n v="21585316.5"/>
    <n v="59"/>
    <n v="13684"/>
    <n v="12690"/>
    <x v="243"/>
    <x v="5"/>
  </r>
  <r>
    <x v="34"/>
    <x v="6"/>
    <n v="188776.5"/>
    <n v="19465372.5"/>
    <n v="59"/>
    <n v="12299"/>
    <n v="11448"/>
    <x v="244"/>
    <x v="6"/>
  </r>
  <r>
    <x v="0"/>
    <x v="7"/>
    <n v="23314.5"/>
    <n v="2136817.5"/>
    <n v="17"/>
    <n v="1439"/>
    <n v="1265"/>
    <x v="245"/>
    <x v="0"/>
  </r>
  <r>
    <x v="1"/>
    <x v="7"/>
    <n v="25917"/>
    <n v="2397588"/>
    <n v="18"/>
    <n v="1534"/>
    <n v="1369"/>
    <x v="246"/>
    <x v="1"/>
  </r>
  <r>
    <x v="2"/>
    <x v="7"/>
    <n v="24211.5"/>
    <n v="2267664"/>
    <n v="19"/>
    <n v="1499"/>
    <n v="1322"/>
    <x v="247"/>
    <x v="2"/>
  </r>
  <r>
    <x v="3"/>
    <x v="7"/>
    <n v="25792.5"/>
    <n v="2374356"/>
    <n v="19"/>
    <n v="1497"/>
    <n v="1291"/>
    <x v="248"/>
    <x v="3"/>
  </r>
  <r>
    <x v="4"/>
    <x v="7"/>
    <n v="19461"/>
    <n v="1799230.5"/>
    <n v="19"/>
    <n v="1217"/>
    <n v="1048"/>
    <x v="249"/>
    <x v="4"/>
  </r>
  <r>
    <x v="5"/>
    <x v="7"/>
    <n v="23539.5"/>
    <n v="2170309.5"/>
    <n v="19"/>
    <n v="1402"/>
    <n v="1234"/>
    <x v="250"/>
    <x v="5"/>
  </r>
  <r>
    <x v="6"/>
    <x v="7"/>
    <n v="27072"/>
    <n v="2450968.5"/>
    <n v="19"/>
    <n v="1582"/>
    <n v="1403"/>
    <x v="251"/>
    <x v="6"/>
  </r>
  <r>
    <x v="7"/>
    <x v="7"/>
    <n v="22848"/>
    <n v="2079900"/>
    <n v="19"/>
    <n v="1417"/>
    <n v="1245"/>
    <x v="252"/>
    <x v="0"/>
  </r>
  <r>
    <x v="8"/>
    <x v="7"/>
    <n v="24678"/>
    <n v="2232519"/>
    <n v="19"/>
    <n v="1499"/>
    <n v="1323"/>
    <x v="253"/>
    <x v="1"/>
  </r>
  <r>
    <x v="9"/>
    <x v="7"/>
    <n v="25468.5"/>
    <n v="2350672.5"/>
    <n v="19"/>
    <n v="1530"/>
    <n v="1338"/>
    <x v="254"/>
    <x v="2"/>
  </r>
  <r>
    <x v="10"/>
    <x v="7"/>
    <n v="25294.5"/>
    <n v="2271454.5"/>
    <n v="19"/>
    <n v="1522"/>
    <n v="1340"/>
    <x v="255"/>
    <x v="3"/>
  </r>
  <r>
    <x v="11"/>
    <x v="7"/>
    <n v="32079"/>
    <n v="2902167"/>
    <n v="19"/>
    <n v="1851"/>
    <n v="1635"/>
    <x v="256"/>
    <x v="4"/>
  </r>
  <r>
    <x v="12"/>
    <x v="7"/>
    <n v="31399.5"/>
    <n v="2862298.5"/>
    <n v="19"/>
    <n v="1848"/>
    <n v="1649"/>
    <x v="257"/>
    <x v="5"/>
  </r>
  <r>
    <x v="13"/>
    <x v="7"/>
    <n v="42397.5"/>
    <n v="3911979"/>
    <n v="19"/>
    <n v="2530"/>
    <n v="2270"/>
    <x v="258"/>
    <x v="6"/>
  </r>
  <r>
    <x v="14"/>
    <x v="7"/>
    <n v="26032.5"/>
    <n v="2370432"/>
    <n v="19"/>
    <n v="1649"/>
    <n v="1460"/>
    <x v="259"/>
    <x v="0"/>
  </r>
  <r>
    <x v="15"/>
    <x v="7"/>
    <n v="26464.5"/>
    <n v="2373337.5"/>
    <n v="19"/>
    <n v="1625"/>
    <n v="1444"/>
    <x v="260"/>
    <x v="1"/>
  </r>
  <r>
    <x v="16"/>
    <x v="7"/>
    <n v="27411"/>
    <n v="2441520"/>
    <n v="19"/>
    <n v="1675"/>
    <n v="1475"/>
    <x v="261"/>
    <x v="2"/>
  </r>
  <r>
    <x v="17"/>
    <x v="7"/>
    <n v="32854.5"/>
    <n v="2949078"/>
    <n v="19"/>
    <n v="1940"/>
    <n v="1715"/>
    <x v="262"/>
    <x v="3"/>
  </r>
  <r>
    <x v="18"/>
    <x v="7"/>
    <n v="35482.5"/>
    <n v="3222517.5"/>
    <n v="19"/>
    <n v="2080"/>
    <n v="1844"/>
    <x v="263"/>
    <x v="4"/>
  </r>
  <r>
    <x v="19"/>
    <x v="7"/>
    <n v="30486"/>
    <n v="2694289.5"/>
    <n v="19"/>
    <n v="1871"/>
    <n v="1660"/>
    <x v="264"/>
    <x v="5"/>
  </r>
  <r>
    <x v="20"/>
    <x v="7"/>
    <n v="28668"/>
    <n v="2588148"/>
    <n v="19"/>
    <n v="1858"/>
    <n v="1648"/>
    <x v="265"/>
    <x v="6"/>
  </r>
  <r>
    <x v="21"/>
    <x v="7"/>
    <n v="32434.5"/>
    <n v="2865337.5"/>
    <n v="19"/>
    <n v="1999"/>
    <n v="1799"/>
    <x v="266"/>
    <x v="0"/>
  </r>
  <r>
    <x v="22"/>
    <x v="7"/>
    <n v="29955"/>
    <n v="2692230"/>
    <n v="19"/>
    <n v="1889"/>
    <n v="1690"/>
    <x v="267"/>
    <x v="1"/>
  </r>
  <r>
    <x v="23"/>
    <x v="7"/>
    <n v="31707"/>
    <n v="2853181.5"/>
    <n v="19"/>
    <n v="1949"/>
    <n v="1724"/>
    <x v="268"/>
    <x v="2"/>
  </r>
  <r>
    <x v="24"/>
    <x v="7"/>
    <n v="38074.5"/>
    <n v="3414180"/>
    <n v="20"/>
    <n v="2306"/>
    <n v="2054"/>
    <x v="269"/>
    <x v="3"/>
  </r>
  <r>
    <x v="25"/>
    <x v="7"/>
    <n v="38176.5"/>
    <n v="3385372.5"/>
    <n v="20"/>
    <n v="2266"/>
    <n v="1993"/>
    <x v="270"/>
    <x v="4"/>
  </r>
  <r>
    <x v="26"/>
    <x v="7"/>
    <n v="31854"/>
    <n v="2915533.5"/>
    <n v="20"/>
    <n v="2015"/>
    <n v="1803"/>
    <x v="271"/>
    <x v="5"/>
  </r>
  <r>
    <x v="27"/>
    <x v="7"/>
    <n v="30603"/>
    <n v="2865727.5"/>
    <n v="20"/>
    <n v="2011"/>
    <n v="1791"/>
    <x v="272"/>
    <x v="6"/>
  </r>
  <r>
    <x v="28"/>
    <x v="7"/>
    <n v="31407"/>
    <n v="2907411"/>
    <n v="20"/>
    <n v="2036"/>
    <n v="1790"/>
    <x v="273"/>
    <x v="0"/>
  </r>
  <r>
    <x v="29"/>
    <x v="7"/>
    <n v="31257"/>
    <n v="2924133"/>
    <n v="20"/>
    <n v="2079"/>
    <n v="1856"/>
    <x v="274"/>
    <x v="1"/>
  </r>
  <r>
    <x v="30"/>
    <x v="7"/>
    <n v="31974"/>
    <n v="3004213.5"/>
    <n v="20"/>
    <n v="2088"/>
    <n v="1848"/>
    <x v="275"/>
    <x v="2"/>
  </r>
  <r>
    <x v="31"/>
    <x v="7"/>
    <n v="35346"/>
    <n v="3258054"/>
    <n v="20"/>
    <n v="2249"/>
    <n v="2000"/>
    <x v="276"/>
    <x v="3"/>
  </r>
  <r>
    <x v="32"/>
    <x v="7"/>
    <n v="39867"/>
    <n v="3654166.5"/>
    <n v="20"/>
    <n v="2451"/>
    <n v="2178"/>
    <x v="277"/>
    <x v="4"/>
  </r>
  <r>
    <x v="33"/>
    <x v="7"/>
    <n v="32359.5"/>
    <n v="2991999"/>
    <n v="20"/>
    <n v="2060"/>
    <n v="1826"/>
    <x v="278"/>
    <x v="5"/>
  </r>
  <r>
    <x v="34"/>
    <x v="7"/>
    <n v="32170.5"/>
    <n v="3013512"/>
    <n v="20"/>
    <n v="2136"/>
    <n v="1899"/>
    <x v="279"/>
    <x v="6"/>
  </r>
  <r>
    <x v="0"/>
    <x v="8"/>
    <n v="12541.5"/>
    <n v="992541"/>
    <n v="15"/>
    <n v="636"/>
    <n v="547"/>
    <x v="280"/>
    <x v="0"/>
  </r>
  <r>
    <x v="1"/>
    <x v="8"/>
    <n v="12250.5"/>
    <n v="981519"/>
    <n v="15"/>
    <n v="659"/>
    <n v="575"/>
    <x v="281"/>
    <x v="1"/>
  </r>
  <r>
    <x v="2"/>
    <x v="8"/>
    <n v="11976"/>
    <n v="1004511"/>
    <n v="15"/>
    <n v="644"/>
    <n v="550"/>
    <x v="282"/>
    <x v="2"/>
  </r>
  <r>
    <x v="3"/>
    <x v="8"/>
    <n v="13644"/>
    <n v="1134444"/>
    <n v="15"/>
    <n v="721"/>
    <n v="625"/>
    <x v="283"/>
    <x v="3"/>
  </r>
  <r>
    <x v="4"/>
    <x v="8"/>
    <n v="10018.5"/>
    <n v="816859.5"/>
    <n v="15"/>
    <n v="567"/>
    <n v="493"/>
    <x v="284"/>
    <x v="4"/>
  </r>
  <r>
    <x v="5"/>
    <x v="8"/>
    <n v="10032"/>
    <n v="816150"/>
    <n v="15"/>
    <n v="585"/>
    <n v="502"/>
    <x v="285"/>
    <x v="5"/>
  </r>
  <r>
    <x v="6"/>
    <x v="8"/>
    <n v="11062.5"/>
    <n v="906343.5"/>
    <n v="15"/>
    <n v="622"/>
    <n v="538"/>
    <x v="286"/>
    <x v="6"/>
  </r>
  <r>
    <x v="7"/>
    <x v="8"/>
    <n v="13941"/>
    <n v="1145575.5"/>
    <n v="15"/>
    <n v="750"/>
    <n v="658"/>
    <x v="287"/>
    <x v="0"/>
  </r>
  <r>
    <x v="8"/>
    <x v="8"/>
    <n v="12468"/>
    <n v="1016566.5"/>
    <n v="15"/>
    <n v="701"/>
    <n v="611"/>
    <x v="288"/>
    <x v="1"/>
  </r>
  <r>
    <x v="9"/>
    <x v="8"/>
    <n v="11719.5"/>
    <n v="965880"/>
    <n v="15"/>
    <n v="676"/>
    <n v="591"/>
    <x v="289"/>
    <x v="2"/>
  </r>
  <r>
    <x v="10"/>
    <x v="8"/>
    <n v="12976.5"/>
    <n v="1046848.5"/>
    <n v="15"/>
    <n v="703"/>
    <n v="609"/>
    <x v="290"/>
    <x v="3"/>
  </r>
  <r>
    <x v="11"/>
    <x v="8"/>
    <n v="11745"/>
    <n v="955801.5"/>
    <n v="15"/>
    <n v="654"/>
    <n v="570"/>
    <x v="291"/>
    <x v="4"/>
  </r>
  <r>
    <x v="12"/>
    <x v="8"/>
    <n v="14566.5"/>
    <n v="1216557"/>
    <n v="15"/>
    <n v="792"/>
    <n v="695"/>
    <x v="292"/>
    <x v="5"/>
  </r>
  <r>
    <x v="13"/>
    <x v="8"/>
    <n v="10941"/>
    <n v="880356"/>
    <n v="15"/>
    <n v="654"/>
    <n v="564"/>
    <x v="293"/>
    <x v="6"/>
  </r>
  <r>
    <x v="14"/>
    <x v="8"/>
    <n v="13443"/>
    <n v="1092277.5"/>
    <n v="15"/>
    <n v="750"/>
    <n v="659"/>
    <x v="294"/>
    <x v="0"/>
  </r>
  <r>
    <x v="15"/>
    <x v="8"/>
    <n v="14643"/>
    <n v="1172691"/>
    <n v="15"/>
    <n v="854"/>
    <n v="756"/>
    <x v="295"/>
    <x v="1"/>
  </r>
  <r>
    <x v="16"/>
    <x v="8"/>
    <n v="13810.5"/>
    <n v="1131676.5"/>
    <n v="16"/>
    <n v="834"/>
    <n v="735"/>
    <x v="296"/>
    <x v="2"/>
  </r>
  <r>
    <x v="17"/>
    <x v="8"/>
    <n v="13752"/>
    <n v="1091040"/>
    <n v="16"/>
    <n v="817"/>
    <n v="718"/>
    <x v="297"/>
    <x v="3"/>
  </r>
  <r>
    <x v="18"/>
    <x v="8"/>
    <n v="16368"/>
    <n v="1316350.5"/>
    <n v="16"/>
    <n v="920"/>
    <n v="818"/>
    <x v="298"/>
    <x v="4"/>
  </r>
  <r>
    <x v="19"/>
    <x v="8"/>
    <n v="13440"/>
    <n v="1157529"/>
    <n v="16"/>
    <n v="859"/>
    <n v="746"/>
    <x v="299"/>
    <x v="5"/>
  </r>
  <r>
    <x v="20"/>
    <x v="8"/>
    <n v="14497.5"/>
    <n v="1230711"/>
    <n v="16"/>
    <n v="864"/>
    <n v="765"/>
    <x v="300"/>
    <x v="6"/>
  </r>
  <r>
    <x v="21"/>
    <x v="8"/>
    <n v="14427"/>
    <n v="1126810.5"/>
    <n v="17"/>
    <n v="857"/>
    <n v="757"/>
    <x v="301"/>
    <x v="0"/>
  </r>
  <r>
    <x v="22"/>
    <x v="8"/>
    <n v="14928"/>
    <n v="1217749.5"/>
    <n v="17"/>
    <n v="890"/>
    <n v="794"/>
    <x v="302"/>
    <x v="1"/>
  </r>
  <r>
    <x v="23"/>
    <x v="8"/>
    <n v="14182.5"/>
    <n v="1172574"/>
    <n v="18"/>
    <n v="888"/>
    <n v="786"/>
    <x v="303"/>
    <x v="2"/>
  </r>
  <r>
    <x v="24"/>
    <x v="8"/>
    <n v="17008.5"/>
    <n v="1398771"/>
    <n v="18"/>
    <n v="985"/>
    <n v="861"/>
    <x v="304"/>
    <x v="3"/>
  </r>
  <r>
    <x v="25"/>
    <x v="8"/>
    <n v="17943"/>
    <n v="1457391"/>
    <n v="18"/>
    <n v="1031"/>
    <n v="918"/>
    <x v="305"/>
    <x v="4"/>
  </r>
  <r>
    <x v="26"/>
    <x v="8"/>
    <n v="17197.5"/>
    <n v="1386262.5"/>
    <n v="18"/>
    <n v="1006"/>
    <n v="904"/>
    <x v="306"/>
    <x v="5"/>
  </r>
  <r>
    <x v="27"/>
    <x v="8"/>
    <n v="15807"/>
    <n v="1326705"/>
    <n v="18"/>
    <n v="989"/>
    <n v="887"/>
    <x v="307"/>
    <x v="6"/>
  </r>
  <r>
    <x v="28"/>
    <x v="8"/>
    <n v="14419.5"/>
    <n v="1210456.5"/>
    <n v="18"/>
    <n v="914"/>
    <n v="804"/>
    <x v="308"/>
    <x v="0"/>
  </r>
  <r>
    <x v="29"/>
    <x v="8"/>
    <n v="15276"/>
    <n v="1350199.5"/>
    <n v="18"/>
    <n v="962"/>
    <n v="859"/>
    <x v="309"/>
    <x v="1"/>
  </r>
  <r>
    <x v="30"/>
    <x v="8"/>
    <n v="15678"/>
    <n v="1387443"/>
    <n v="18"/>
    <n v="1020"/>
    <n v="911"/>
    <x v="310"/>
    <x v="2"/>
  </r>
  <r>
    <x v="31"/>
    <x v="8"/>
    <n v="16878"/>
    <n v="1438255.5"/>
    <n v="18"/>
    <n v="1014"/>
    <n v="893"/>
    <x v="311"/>
    <x v="3"/>
  </r>
  <r>
    <x v="32"/>
    <x v="8"/>
    <n v="20688"/>
    <n v="1773154.5"/>
    <n v="18"/>
    <n v="1216"/>
    <n v="1101"/>
    <x v="312"/>
    <x v="4"/>
  </r>
  <r>
    <x v="33"/>
    <x v="8"/>
    <n v="16143"/>
    <n v="1423410"/>
    <n v="18"/>
    <n v="1029"/>
    <n v="925"/>
    <x v="313"/>
    <x v="5"/>
  </r>
  <r>
    <x v="34"/>
    <x v="8"/>
    <n v="14238"/>
    <n v="1293219"/>
    <n v="18"/>
    <n v="923"/>
    <n v="824"/>
    <x v="314"/>
    <x v="6"/>
  </r>
  <r>
    <x v="0"/>
    <x v="9"/>
    <n v="13303.5"/>
    <n v="1102887"/>
    <n v="15"/>
    <n v="780"/>
    <n v="690"/>
    <x v="315"/>
    <x v="0"/>
  </r>
  <r>
    <x v="1"/>
    <x v="9"/>
    <n v="13014"/>
    <n v="1115992.5"/>
    <n v="15"/>
    <n v="786"/>
    <n v="695"/>
    <x v="316"/>
    <x v="1"/>
  </r>
  <r>
    <x v="2"/>
    <x v="9"/>
    <n v="12753"/>
    <n v="1103068.5"/>
    <n v="15"/>
    <n v="791"/>
    <n v="691"/>
    <x v="317"/>
    <x v="2"/>
  </r>
  <r>
    <x v="3"/>
    <x v="9"/>
    <n v="17113.5"/>
    <n v="1465842"/>
    <n v="15"/>
    <n v="996"/>
    <n v="888"/>
    <x v="318"/>
    <x v="3"/>
  </r>
  <r>
    <x v="4"/>
    <x v="9"/>
    <n v="12313.5"/>
    <n v="1053220.5"/>
    <n v="15"/>
    <n v="751"/>
    <n v="651"/>
    <x v="319"/>
    <x v="4"/>
  </r>
  <r>
    <x v="5"/>
    <x v="9"/>
    <n v="12924"/>
    <n v="1120009.5"/>
    <n v="15"/>
    <n v="784"/>
    <n v="696"/>
    <x v="320"/>
    <x v="5"/>
  </r>
  <r>
    <x v="6"/>
    <x v="9"/>
    <n v="12301.5"/>
    <n v="1085211"/>
    <n v="15"/>
    <n v="750"/>
    <n v="647"/>
    <x v="321"/>
    <x v="6"/>
  </r>
  <r>
    <x v="7"/>
    <x v="9"/>
    <n v="15987"/>
    <n v="1384179"/>
    <n v="15"/>
    <n v="922"/>
    <n v="823"/>
    <x v="322"/>
    <x v="0"/>
  </r>
  <r>
    <x v="8"/>
    <x v="9"/>
    <n v="14061"/>
    <n v="1221057"/>
    <n v="15"/>
    <n v="839"/>
    <n v="733"/>
    <x v="323"/>
    <x v="1"/>
  </r>
  <r>
    <x v="9"/>
    <x v="9"/>
    <n v="12705"/>
    <n v="1123894.5"/>
    <n v="15"/>
    <n v="805"/>
    <n v="703"/>
    <x v="324"/>
    <x v="2"/>
  </r>
  <r>
    <x v="10"/>
    <x v="9"/>
    <n v="14494.5"/>
    <n v="1269786"/>
    <n v="15"/>
    <n v="879"/>
    <n v="768"/>
    <x v="325"/>
    <x v="3"/>
  </r>
  <r>
    <x v="11"/>
    <x v="9"/>
    <n v="13948.5"/>
    <n v="1222932"/>
    <n v="15"/>
    <n v="849"/>
    <n v="740"/>
    <x v="326"/>
    <x v="4"/>
  </r>
  <r>
    <x v="12"/>
    <x v="9"/>
    <n v="16435.5"/>
    <n v="1471537.5"/>
    <n v="15"/>
    <n v="950"/>
    <n v="848"/>
    <x v="327"/>
    <x v="5"/>
  </r>
  <r>
    <x v="13"/>
    <x v="9"/>
    <n v="12238.5"/>
    <n v="1096002"/>
    <n v="15"/>
    <n v="812"/>
    <n v="714"/>
    <x v="328"/>
    <x v="6"/>
  </r>
  <r>
    <x v="14"/>
    <x v="9"/>
    <n v="12802.5"/>
    <n v="1123830"/>
    <n v="15"/>
    <n v="845"/>
    <n v="743"/>
    <x v="329"/>
    <x v="0"/>
  </r>
  <r>
    <x v="15"/>
    <x v="9"/>
    <n v="14305.5"/>
    <n v="1243507.5"/>
    <n v="15"/>
    <n v="898"/>
    <n v="795"/>
    <x v="330"/>
    <x v="1"/>
  </r>
  <r>
    <x v="16"/>
    <x v="9"/>
    <n v="14385"/>
    <n v="1223491.5"/>
    <n v="15"/>
    <n v="890"/>
    <n v="777"/>
    <x v="331"/>
    <x v="2"/>
  </r>
  <r>
    <x v="17"/>
    <x v="9"/>
    <n v="16498.5"/>
    <n v="1370482.5"/>
    <n v="15"/>
    <n v="980"/>
    <n v="867"/>
    <x v="332"/>
    <x v="3"/>
  </r>
  <r>
    <x v="18"/>
    <x v="9"/>
    <n v="18600"/>
    <n v="1601425.5"/>
    <n v="15"/>
    <n v="1111"/>
    <n v="992"/>
    <x v="333"/>
    <x v="4"/>
  </r>
  <r>
    <x v="19"/>
    <x v="9"/>
    <n v="15609"/>
    <n v="1377577.5"/>
    <n v="15"/>
    <n v="971"/>
    <n v="856"/>
    <x v="334"/>
    <x v="5"/>
  </r>
  <r>
    <x v="20"/>
    <x v="9"/>
    <n v="14290.5"/>
    <n v="1246162.5"/>
    <n v="16"/>
    <n v="925"/>
    <n v="816"/>
    <x v="335"/>
    <x v="6"/>
  </r>
  <r>
    <x v="21"/>
    <x v="9"/>
    <n v="16638"/>
    <n v="1364847"/>
    <n v="16"/>
    <n v="1012"/>
    <n v="900"/>
    <x v="336"/>
    <x v="0"/>
  </r>
  <r>
    <x v="22"/>
    <x v="9"/>
    <n v="17329.5"/>
    <n v="1430254.5"/>
    <n v="16"/>
    <n v="1050"/>
    <n v="938"/>
    <x v="337"/>
    <x v="1"/>
  </r>
  <r>
    <x v="23"/>
    <x v="9"/>
    <n v="16554"/>
    <n v="1380751.5"/>
    <n v="17"/>
    <n v="1045"/>
    <n v="930"/>
    <x v="338"/>
    <x v="2"/>
  </r>
  <r>
    <x v="24"/>
    <x v="9"/>
    <n v="21483"/>
    <n v="1774329"/>
    <n v="17"/>
    <n v="1268"/>
    <n v="1129"/>
    <x v="339"/>
    <x v="3"/>
  </r>
  <r>
    <x v="25"/>
    <x v="9"/>
    <n v="21958.5"/>
    <n v="1854001.5"/>
    <n v="17"/>
    <n v="1294"/>
    <n v="1155"/>
    <x v="340"/>
    <x v="4"/>
  </r>
  <r>
    <x v="26"/>
    <x v="9"/>
    <n v="18075"/>
    <n v="1548099"/>
    <n v="17"/>
    <n v="1128"/>
    <n v="1001"/>
    <x v="341"/>
    <x v="5"/>
  </r>
  <r>
    <x v="27"/>
    <x v="9"/>
    <n v="17211"/>
    <n v="1507867.5"/>
    <n v="17"/>
    <n v="1142"/>
    <n v="1020"/>
    <x v="342"/>
    <x v="6"/>
  </r>
  <r>
    <x v="28"/>
    <x v="9"/>
    <n v="17391"/>
    <n v="1489132.5"/>
    <n v="17"/>
    <n v="1140"/>
    <n v="1016"/>
    <x v="343"/>
    <x v="0"/>
  </r>
  <r>
    <x v="29"/>
    <x v="9"/>
    <n v="18069"/>
    <n v="1603084.5"/>
    <n v="17"/>
    <n v="1203"/>
    <n v="1077"/>
    <x v="344"/>
    <x v="1"/>
  </r>
  <r>
    <x v="30"/>
    <x v="9"/>
    <n v="16500"/>
    <n v="1487928"/>
    <n v="17"/>
    <n v="1097"/>
    <n v="968"/>
    <x v="345"/>
    <x v="2"/>
  </r>
  <r>
    <x v="31"/>
    <x v="9"/>
    <n v="19647"/>
    <n v="1764669"/>
    <n v="17"/>
    <n v="1296"/>
    <n v="1153"/>
    <x v="346"/>
    <x v="3"/>
  </r>
  <r>
    <x v="32"/>
    <x v="9"/>
    <n v="27250.5"/>
    <n v="2457252"/>
    <n v="17"/>
    <n v="1697"/>
    <n v="1499"/>
    <x v="347"/>
    <x v="4"/>
  </r>
  <r>
    <x v="33"/>
    <x v="9"/>
    <n v="17689.5"/>
    <n v="1592119.5"/>
    <n v="17"/>
    <n v="1186"/>
    <n v="1054"/>
    <x v="348"/>
    <x v="5"/>
  </r>
  <r>
    <x v="34"/>
    <x v="9"/>
    <n v="16687.5"/>
    <n v="1526608.5"/>
    <n v="17"/>
    <n v="1185"/>
    <n v="1042"/>
    <x v="349"/>
    <x v="6"/>
  </r>
  <r>
    <x v="2"/>
    <x v="10"/>
    <n v="4285.5"/>
    <n v="404691"/>
    <n v="15"/>
    <n v="262"/>
    <n v="195"/>
    <x v="350"/>
    <x v="2"/>
  </r>
  <r>
    <x v="3"/>
    <x v="10"/>
    <n v="5446.5"/>
    <n v="505572"/>
    <n v="15"/>
    <n v="294"/>
    <n v="225"/>
    <x v="351"/>
    <x v="3"/>
  </r>
  <r>
    <x v="4"/>
    <x v="10"/>
    <n v="4624.5"/>
    <n v="433243.5"/>
    <n v="15"/>
    <n v="274"/>
    <n v="203"/>
    <x v="352"/>
    <x v="4"/>
  </r>
  <r>
    <x v="5"/>
    <x v="10"/>
    <n v="8127"/>
    <n v="665302.5"/>
    <n v="15"/>
    <n v="455"/>
    <n v="384"/>
    <x v="353"/>
    <x v="5"/>
  </r>
  <r>
    <x v="6"/>
    <x v="10"/>
    <n v="7087.5"/>
    <n v="610855.5"/>
    <n v="15"/>
    <n v="390"/>
    <n v="315"/>
    <x v="354"/>
    <x v="6"/>
  </r>
  <r>
    <x v="7"/>
    <x v="10"/>
    <n v="8223"/>
    <n v="694593"/>
    <n v="15"/>
    <n v="455"/>
    <n v="381"/>
    <x v="355"/>
    <x v="0"/>
  </r>
  <r>
    <x v="8"/>
    <x v="10"/>
    <n v="8464.5"/>
    <n v="739291.5"/>
    <n v="15"/>
    <n v="467"/>
    <n v="389"/>
    <x v="356"/>
    <x v="1"/>
  </r>
  <r>
    <x v="9"/>
    <x v="10"/>
    <n v="8719.5"/>
    <n v="769276.5"/>
    <n v="15"/>
    <n v="480"/>
    <n v="398"/>
    <x v="357"/>
    <x v="2"/>
  </r>
  <r>
    <x v="10"/>
    <x v="10"/>
    <n v="9058.5"/>
    <n v="798759"/>
    <n v="15"/>
    <n v="492"/>
    <n v="412"/>
    <x v="358"/>
    <x v="3"/>
  </r>
  <r>
    <x v="11"/>
    <x v="10"/>
    <n v="12037.5"/>
    <n v="1081216.5"/>
    <n v="15"/>
    <n v="623"/>
    <n v="535"/>
    <x v="359"/>
    <x v="4"/>
  </r>
  <r>
    <x v="12"/>
    <x v="10"/>
    <n v="13440"/>
    <n v="1198285.5"/>
    <n v="15"/>
    <n v="706"/>
    <n v="608"/>
    <x v="360"/>
    <x v="5"/>
  </r>
  <r>
    <x v="13"/>
    <x v="10"/>
    <n v="12654"/>
    <n v="1081158"/>
    <n v="15"/>
    <n v="684"/>
    <n v="585"/>
    <x v="361"/>
    <x v="6"/>
  </r>
  <r>
    <x v="14"/>
    <x v="10"/>
    <n v="11296.5"/>
    <n v="989632.5"/>
    <n v="15"/>
    <n v="624"/>
    <n v="538"/>
    <x v="362"/>
    <x v="0"/>
  </r>
  <r>
    <x v="15"/>
    <x v="10"/>
    <n v="10401"/>
    <n v="949912.5"/>
    <n v="15"/>
    <n v="599"/>
    <n v="515"/>
    <x v="363"/>
    <x v="1"/>
  </r>
  <r>
    <x v="16"/>
    <x v="10"/>
    <n v="11161.5"/>
    <n v="963502.5"/>
    <n v="15"/>
    <n v="638"/>
    <n v="548"/>
    <x v="364"/>
    <x v="2"/>
  </r>
  <r>
    <x v="17"/>
    <x v="10"/>
    <n v="12229.5"/>
    <n v="1122730.5"/>
    <n v="15"/>
    <n v="688"/>
    <n v="598"/>
    <x v="365"/>
    <x v="3"/>
  </r>
  <r>
    <x v="18"/>
    <x v="10"/>
    <n v="13120.5"/>
    <n v="1215033"/>
    <n v="15"/>
    <n v="747"/>
    <n v="647"/>
    <x v="366"/>
    <x v="4"/>
  </r>
  <r>
    <x v="19"/>
    <x v="10"/>
    <n v="11967"/>
    <n v="1060489.5"/>
    <n v="15"/>
    <n v="692"/>
    <n v="591"/>
    <x v="367"/>
    <x v="5"/>
  </r>
  <r>
    <x v="20"/>
    <x v="10"/>
    <n v="12450"/>
    <n v="1115146.5"/>
    <n v="15"/>
    <n v="729"/>
    <n v="636"/>
    <x v="368"/>
    <x v="6"/>
  </r>
  <r>
    <x v="21"/>
    <x v="10"/>
    <n v="16237.5"/>
    <n v="1403047.5"/>
    <n v="15"/>
    <n v="930"/>
    <n v="827"/>
    <x v="369"/>
    <x v="0"/>
  </r>
  <r>
    <x v="22"/>
    <x v="10"/>
    <n v="12630"/>
    <n v="1104858"/>
    <n v="15"/>
    <n v="760"/>
    <n v="664"/>
    <x v="370"/>
    <x v="1"/>
  </r>
  <r>
    <x v="23"/>
    <x v="10"/>
    <n v="12135"/>
    <n v="1103623.5"/>
    <n v="15"/>
    <n v="749"/>
    <n v="652"/>
    <x v="371"/>
    <x v="2"/>
  </r>
  <r>
    <x v="24"/>
    <x v="10"/>
    <n v="15802.5"/>
    <n v="1411909.5"/>
    <n v="15"/>
    <n v="903"/>
    <n v="792"/>
    <x v="372"/>
    <x v="3"/>
  </r>
  <r>
    <x v="25"/>
    <x v="10"/>
    <n v="14167.5"/>
    <n v="1315075.5"/>
    <n v="15"/>
    <n v="840"/>
    <n v="725"/>
    <x v="373"/>
    <x v="4"/>
  </r>
  <r>
    <x v="26"/>
    <x v="10"/>
    <n v="12666"/>
    <n v="1184865"/>
    <n v="15"/>
    <n v="779"/>
    <n v="673"/>
    <x v="374"/>
    <x v="5"/>
  </r>
  <r>
    <x v="27"/>
    <x v="10"/>
    <n v="13260"/>
    <n v="1230687"/>
    <n v="15"/>
    <n v="835"/>
    <n v="736"/>
    <x v="375"/>
    <x v="6"/>
  </r>
  <r>
    <x v="28"/>
    <x v="10"/>
    <n v="12259.5"/>
    <n v="1152054"/>
    <n v="15"/>
    <n v="812"/>
    <n v="711"/>
    <x v="376"/>
    <x v="0"/>
  </r>
  <r>
    <x v="29"/>
    <x v="10"/>
    <n v="13203"/>
    <n v="1211457"/>
    <n v="15"/>
    <n v="809"/>
    <n v="702"/>
    <x v="377"/>
    <x v="1"/>
  </r>
  <r>
    <x v="30"/>
    <x v="10"/>
    <n v="13864.5"/>
    <n v="1239747"/>
    <n v="16"/>
    <n v="876"/>
    <n v="762"/>
    <x v="378"/>
    <x v="2"/>
  </r>
  <r>
    <x v="31"/>
    <x v="10"/>
    <n v="17052"/>
    <n v="1549020"/>
    <n v="16"/>
    <n v="981"/>
    <n v="859"/>
    <x v="379"/>
    <x v="3"/>
  </r>
  <r>
    <x v="32"/>
    <x v="10"/>
    <n v="17946"/>
    <n v="1609090.5"/>
    <n v="16"/>
    <n v="1048"/>
    <n v="918"/>
    <x v="380"/>
    <x v="4"/>
  </r>
  <r>
    <x v="33"/>
    <x v="10"/>
    <n v="14808"/>
    <n v="1336789.5"/>
    <n v="16"/>
    <n v="917"/>
    <n v="802"/>
    <x v="381"/>
    <x v="5"/>
  </r>
  <r>
    <x v="34"/>
    <x v="10"/>
    <n v="16476"/>
    <n v="1565632.5"/>
    <n v="16"/>
    <n v="1019"/>
    <n v="895"/>
    <x v="382"/>
    <x v="6"/>
  </r>
  <r>
    <x v="30"/>
    <x v="11"/>
    <n v="8536.5"/>
    <n v="643944"/>
    <n v="15"/>
    <n v="464"/>
    <n v="390"/>
    <x v="383"/>
    <x v="2"/>
  </r>
  <r>
    <x v="31"/>
    <x v="11"/>
    <n v="8350.5"/>
    <n v="651237"/>
    <n v="15"/>
    <n v="400"/>
    <n v="329"/>
    <x v="384"/>
    <x v="3"/>
  </r>
  <r>
    <x v="32"/>
    <x v="11"/>
    <n v="10029"/>
    <n v="787101"/>
    <n v="15"/>
    <n v="490"/>
    <n v="409"/>
    <x v="385"/>
    <x v="4"/>
  </r>
  <r>
    <x v="33"/>
    <x v="11"/>
    <n v="7944"/>
    <n v="623971.5"/>
    <n v="15"/>
    <n v="441"/>
    <n v="368"/>
    <x v="386"/>
    <x v="5"/>
  </r>
  <r>
    <x v="34"/>
    <x v="11"/>
    <n v="7816.5"/>
    <n v="636345"/>
    <n v="15"/>
    <n v="453"/>
    <n v="370"/>
    <x v="387"/>
    <x v="6"/>
  </r>
  <r>
    <x v="0"/>
    <x v="12"/>
    <n v="376060.5"/>
    <n v="39918028.5"/>
    <n v="125"/>
    <n v="20914"/>
    <n v="19479"/>
    <x v="388"/>
    <x v="0"/>
  </r>
  <r>
    <x v="1"/>
    <x v="12"/>
    <n v="387220.5"/>
    <n v="41559384"/>
    <n v="125"/>
    <n v="21863"/>
    <n v="20160"/>
    <x v="389"/>
    <x v="1"/>
  </r>
  <r>
    <x v="2"/>
    <x v="12"/>
    <n v="401580"/>
    <n v="43028734.5"/>
    <n v="125"/>
    <n v="22368"/>
    <n v="20625"/>
    <x v="390"/>
    <x v="2"/>
  </r>
  <r>
    <x v="3"/>
    <x v="12"/>
    <n v="372504"/>
    <n v="40077193.5"/>
    <n v="125"/>
    <n v="20602"/>
    <n v="18845"/>
    <x v="391"/>
    <x v="3"/>
  </r>
  <r>
    <x v="4"/>
    <x v="12"/>
    <n v="296580"/>
    <n v="31843737"/>
    <n v="125"/>
    <n v="16932"/>
    <n v="15601"/>
    <x v="392"/>
    <x v="4"/>
  </r>
  <r>
    <x v="5"/>
    <x v="12"/>
    <n v="342666"/>
    <n v="36631999.5"/>
    <n v="125"/>
    <n v="18861"/>
    <n v="17420"/>
    <x v="393"/>
    <x v="5"/>
  </r>
  <r>
    <x v="6"/>
    <x v="12"/>
    <n v="360255"/>
    <n v="38406954"/>
    <n v="125"/>
    <n v="20495"/>
    <n v="18964"/>
    <x v="394"/>
    <x v="6"/>
  </r>
  <r>
    <x v="7"/>
    <x v="12"/>
    <n v="333792"/>
    <n v="35671734"/>
    <n v="125"/>
    <n v="18944"/>
    <n v="17541"/>
    <x v="395"/>
    <x v="0"/>
  </r>
  <r>
    <x v="8"/>
    <x v="12"/>
    <n v="355278"/>
    <n v="38092344"/>
    <n v="125"/>
    <n v="20218"/>
    <n v="18647"/>
    <x v="396"/>
    <x v="1"/>
  </r>
  <r>
    <x v="9"/>
    <x v="12"/>
    <n v="319110"/>
    <n v="33763989"/>
    <n v="125"/>
    <n v="18014"/>
    <n v="16675"/>
    <x v="397"/>
    <x v="2"/>
  </r>
  <r>
    <x v="10"/>
    <x v="12"/>
    <n v="463530"/>
    <n v="49123180.5"/>
    <n v="125"/>
    <n v="24620"/>
    <n v="22641"/>
    <x v="398"/>
    <x v="3"/>
  </r>
  <r>
    <x v="11"/>
    <x v="12"/>
    <n v="359214"/>
    <n v="38693427"/>
    <n v="125"/>
    <n v="20132"/>
    <n v="18617"/>
    <x v="399"/>
    <x v="4"/>
  </r>
  <r>
    <x v="12"/>
    <x v="12"/>
    <n v="368649"/>
    <n v="39010875"/>
    <n v="125"/>
    <n v="20368"/>
    <n v="18884"/>
    <x v="400"/>
    <x v="5"/>
  </r>
  <r>
    <x v="13"/>
    <x v="12"/>
    <n v="318565.5"/>
    <n v="33781581"/>
    <n v="125"/>
    <n v="18066"/>
    <n v="16883"/>
    <x v="401"/>
    <x v="6"/>
  </r>
  <r>
    <x v="14"/>
    <x v="12"/>
    <n v="373392"/>
    <n v="39578577"/>
    <n v="125"/>
    <n v="21106"/>
    <n v="19651"/>
    <x v="402"/>
    <x v="0"/>
  </r>
  <r>
    <x v="15"/>
    <x v="12"/>
    <n v="350068.5"/>
    <n v="37197115.5"/>
    <n v="125"/>
    <n v="19965"/>
    <n v="18573"/>
    <x v="403"/>
    <x v="1"/>
  </r>
  <r>
    <x v="16"/>
    <x v="12"/>
    <n v="358387.5"/>
    <n v="37963150.5"/>
    <n v="125"/>
    <n v="20247"/>
    <n v="18812"/>
    <x v="404"/>
    <x v="2"/>
  </r>
  <r>
    <x v="17"/>
    <x v="12"/>
    <n v="403261.5"/>
    <n v="42271377"/>
    <n v="125"/>
    <n v="21862"/>
    <n v="20235"/>
    <x v="405"/>
    <x v="3"/>
  </r>
  <r>
    <x v="18"/>
    <x v="12"/>
    <n v="408810"/>
    <n v="42323631"/>
    <n v="125"/>
    <n v="22291"/>
    <n v="20635"/>
    <x v="406"/>
    <x v="4"/>
  </r>
  <r>
    <x v="19"/>
    <x v="12"/>
    <n v="357072"/>
    <n v="36834567"/>
    <n v="125"/>
    <n v="20079"/>
    <n v="18721"/>
    <x v="407"/>
    <x v="5"/>
  </r>
  <r>
    <x v="20"/>
    <x v="12"/>
    <n v="355081.5"/>
    <n v="36876888"/>
    <n v="125"/>
    <n v="20449"/>
    <n v="19060"/>
    <x v="408"/>
    <x v="6"/>
  </r>
  <r>
    <x v="21"/>
    <x v="12"/>
    <n v="362536.5"/>
    <n v="37023243"/>
    <n v="125"/>
    <n v="20771"/>
    <n v="19338"/>
    <x v="409"/>
    <x v="0"/>
  </r>
  <r>
    <x v="22"/>
    <x v="12"/>
    <n v="388668"/>
    <n v="39639309"/>
    <n v="125"/>
    <n v="21674"/>
    <n v="20155"/>
    <x v="410"/>
    <x v="1"/>
  </r>
  <r>
    <x v="23"/>
    <x v="12"/>
    <n v="378043.5"/>
    <n v="37902156.57"/>
    <n v="125"/>
    <n v="20911"/>
    <n v="19358"/>
    <x v="411"/>
    <x v="2"/>
  </r>
  <r>
    <x v="24"/>
    <x v="12"/>
    <n v="393018"/>
    <n v="39498373.5"/>
    <n v="125"/>
    <n v="21427"/>
    <n v="19799"/>
    <x v="412"/>
    <x v="3"/>
  </r>
  <r>
    <x v="25"/>
    <x v="12"/>
    <n v="456885"/>
    <n v="46408080"/>
    <n v="125"/>
    <n v="24574"/>
    <n v="22609"/>
    <x v="413"/>
    <x v="4"/>
  </r>
  <r>
    <x v="26"/>
    <x v="12"/>
    <n v="375744"/>
    <n v="38191381.5"/>
    <n v="125"/>
    <n v="21004"/>
    <n v="19556"/>
    <x v="414"/>
    <x v="5"/>
  </r>
  <r>
    <x v="27"/>
    <x v="12"/>
    <n v="349734"/>
    <n v="36883428"/>
    <n v="124"/>
    <n v="20358"/>
    <n v="18890"/>
    <x v="415"/>
    <x v="6"/>
  </r>
  <r>
    <x v="28"/>
    <x v="12"/>
    <n v="369861"/>
    <n v="38365960.5"/>
    <n v="124"/>
    <n v="21153"/>
    <n v="19673"/>
    <x v="416"/>
    <x v="0"/>
  </r>
  <r>
    <x v="29"/>
    <x v="12"/>
    <n v="370012.5"/>
    <n v="39034861.5"/>
    <n v="124"/>
    <n v="21384"/>
    <n v="19897"/>
    <x v="417"/>
    <x v="1"/>
  </r>
  <r>
    <x v="30"/>
    <x v="12"/>
    <n v="364638"/>
    <n v="37947688.5"/>
    <n v="124"/>
    <n v="20868"/>
    <n v="19342"/>
    <x v="418"/>
    <x v="2"/>
  </r>
  <r>
    <x v="31"/>
    <x v="12"/>
    <n v="524481"/>
    <n v="54172029"/>
    <n v="124"/>
    <n v="25828"/>
    <n v="23974"/>
    <x v="419"/>
    <x v="3"/>
  </r>
  <r>
    <x v="32"/>
    <x v="12"/>
    <n v="453123"/>
    <n v="46370904"/>
    <n v="124"/>
    <n v="24325"/>
    <n v="22469"/>
    <x v="420"/>
    <x v="4"/>
  </r>
  <r>
    <x v="33"/>
    <x v="12"/>
    <n v="379663.5"/>
    <n v="39380178"/>
    <n v="124"/>
    <n v="21392"/>
    <n v="19869"/>
    <x v="421"/>
    <x v="5"/>
  </r>
  <r>
    <x v="34"/>
    <x v="12"/>
    <n v="349699.5"/>
    <n v="37257840.18135"/>
    <n v="123"/>
    <n v="20325"/>
    <n v="18935"/>
    <x v="422"/>
    <x v="6"/>
  </r>
  <r>
    <x v="0"/>
    <x v="13"/>
    <n v="286002"/>
    <n v="29159032.5"/>
    <n v="128"/>
    <n v="16450"/>
    <n v="15320"/>
    <x v="423"/>
    <x v="0"/>
  </r>
  <r>
    <x v="1"/>
    <x v="13"/>
    <n v="298059"/>
    <n v="30869287.5"/>
    <n v="128"/>
    <n v="17368"/>
    <n v="16077"/>
    <x v="424"/>
    <x v="1"/>
  </r>
  <r>
    <x v="2"/>
    <x v="13"/>
    <n v="311131.5"/>
    <n v="32418879"/>
    <n v="129"/>
    <n v="18042"/>
    <n v="16631"/>
    <x v="425"/>
    <x v="2"/>
  </r>
  <r>
    <x v="3"/>
    <x v="13"/>
    <n v="296149.5"/>
    <n v="31053316.5"/>
    <n v="129"/>
    <n v="17002"/>
    <n v="15570"/>
    <x v="426"/>
    <x v="3"/>
  </r>
  <r>
    <x v="4"/>
    <x v="13"/>
    <n v="232903.5"/>
    <n v="24342016.5"/>
    <n v="129"/>
    <n v="14009"/>
    <n v="12920"/>
    <x v="427"/>
    <x v="4"/>
  </r>
  <r>
    <x v="5"/>
    <x v="13"/>
    <n v="274083"/>
    <n v="28427001"/>
    <n v="129"/>
    <n v="15778"/>
    <n v="14624"/>
    <x v="428"/>
    <x v="5"/>
  </r>
  <r>
    <x v="6"/>
    <x v="13"/>
    <n v="283942.5"/>
    <n v="29357940"/>
    <n v="129"/>
    <n v="16525"/>
    <n v="15310"/>
    <x v="429"/>
    <x v="6"/>
  </r>
  <r>
    <x v="7"/>
    <x v="13"/>
    <n v="262734"/>
    <n v="27278441.145"/>
    <n v="129"/>
    <n v="15665"/>
    <n v="14501"/>
    <x v="430"/>
    <x v="0"/>
  </r>
  <r>
    <x v="8"/>
    <x v="13"/>
    <n v="277512"/>
    <n v="28770810.105599999"/>
    <n v="129"/>
    <n v="16376"/>
    <n v="15197"/>
    <x v="431"/>
    <x v="1"/>
  </r>
  <r>
    <x v="9"/>
    <x v="13"/>
    <n v="247813.5"/>
    <n v="25325271"/>
    <n v="129"/>
    <n v="14582"/>
    <n v="13512"/>
    <x v="432"/>
    <x v="2"/>
  </r>
  <r>
    <x v="10"/>
    <x v="13"/>
    <n v="370092"/>
    <n v="38091556.5"/>
    <n v="129"/>
    <n v="20452"/>
    <n v="18857"/>
    <x v="433"/>
    <x v="3"/>
  </r>
  <r>
    <x v="11"/>
    <x v="13"/>
    <n v="285972"/>
    <n v="29768199"/>
    <n v="129"/>
    <n v="16420"/>
    <n v="15169"/>
    <x v="434"/>
    <x v="4"/>
  </r>
  <r>
    <x v="12"/>
    <x v="13"/>
    <n v="287206.5"/>
    <n v="29536176.10605"/>
    <n v="129"/>
    <n v="16437"/>
    <n v="15285"/>
    <x v="435"/>
    <x v="5"/>
  </r>
  <r>
    <x v="13"/>
    <x v="13"/>
    <n v="237099"/>
    <n v="24628233.223949999"/>
    <n v="129"/>
    <n v="14043"/>
    <n v="13167"/>
    <x v="436"/>
    <x v="6"/>
  </r>
  <r>
    <x v="14"/>
    <x v="13"/>
    <n v="281796"/>
    <n v="29042520"/>
    <n v="129"/>
    <n v="16387"/>
    <n v="15322"/>
    <x v="437"/>
    <x v="0"/>
  </r>
  <r>
    <x v="15"/>
    <x v="13"/>
    <n v="258459"/>
    <n v="26467453.5"/>
    <n v="129"/>
    <n v="15304"/>
    <n v="14315"/>
    <x v="438"/>
    <x v="1"/>
  </r>
  <r>
    <x v="16"/>
    <x v="13"/>
    <n v="274059"/>
    <n v="28181292"/>
    <n v="129"/>
    <n v="15804"/>
    <n v="14738"/>
    <x v="439"/>
    <x v="2"/>
  </r>
  <r>
    <x v="17"/>
    <x v="13"/>
    <n v="318816"/>
    <n v="32354331"/>
    <n v="129"/>
    <n v="17808"/>
    <n v="16486"/>
    <x v="440"/>
    <x v="3"/>
  </r>
  <r>
    <x v="18"/>
    <x v="13"/>
    <n v="321412.5"/>
    <n v="32235864"/>
    <n v="129"/>
    <n v="17914"/>
    <n v="16631"/>
    <x v="441"/>
    <x v="4"/>
  </r>
  <r>
    <x v="19"/>
    <x v="13"/>
    <n v="269029.5"/>
    <n v="26659930.5"/>
    <n v="129"/>
    <n v="15744"/>
    <n v="14685"/>
    <x v="442"/>
    <x v="5"/>
  </r>
  <r>
    <x v="20"/>
    <x v="13"/>
    <n v="273900"/>
    <n v="27535284.147600003"/>
    <n v="129"/>
    <n v="16110"/>
    <n v="14992"/>
    <x v="443"/>
    <x v="6"/>
  </r>
  <r>
    <x v="21"/>
    <x v="13"/>
    <n v="276568.5"/>
    <n v="27093624"/>
    <n v="129"/>
    <n v="16191"/>
    <n v="15102"/>
    <x v="444"/>
    <x v="0"/>
  </r>
  <r>
    <x v="22"/>
    <x v="13"/>
    <n v="300151.5"/>
    <n v="29368771.617449999"/>
    <n v="129"/>
    <n v="17095"/>
    <n v="15919"/>
    <x v="445"/>
    <x v="1"/>
  </r>
  <r>
    <x v="23"/>
    <x v="13"/>
    <n v="288936"/>
    <n v="27852900"/>
    <n v="129"/>
    <n v="16373"/>
    <n v="15223"/>
    <x v="446"/>
    <x v="2"/>
  </r>
  <r>
    <x v="24"/>
    <x v="13"/>
    <n v="304092"/>
    <n v="29465769"/>
    <n v="129"/>
    <n v="17088"/>
    <n v="15804"/>
    <x v="447"/>
    <x v="3"/>
  </r>
  <r>
    <x v="25"/>
    <x v="13"/>
    <n v="356982"/>
    <n v="35103926.711549997"/>
    <n v="129"/>
    <n v="19856"/>
    <n v="18325"/>
    <x v="448"/>
    <x v="4"/>
  </r>
  <r>
    <x v="26"/>
    <x v="13"/>
    <n v="287740.5"/>
    <n v="28188534"/>
    <n v="129"/>
    <n v="16432"/>
    <n v="15345"/>
    <x v="449"/>
    <x v="5"/>
  </r>
  <r>
    <x v="27"/>
    <x v="13"/>
    <n v="266983.5"/>
    <n v="27165913.5"/>
    <n v="129"/>
    <n v="15822"/>
    <n v="14753"/>
    <x v="450"/>
    <x v="6"/>
  </r>
  <r>
    <x v="28"/>
    <x v="13"/>
    <n v="276966"/>
    <n v="27872617.898850001"/>
    <n v="129"/>
    <n v="16459"/>
    <n v="15355"/>
    <x v="451"/>
    <x v="0"/>
  </r>
  <r>
    <x v="29"/>
    <x v="13"/>
    <n v="286558.5"/>
    <n v="29256993"/>
    <n v="129"/>
    <n v="17115"/>
    <n v="15962"/>
    <x v="452"/>
    <x v="1"/>
  </r>
  <r>
    <x v="30"/>
    <x v="13"/>
    <n v="278491.5"/>
    <n v="28151004.75"/>
    <n v="129"/>
    <n v="16453"/>
    <n v="15289"/>
    <x v="453"/>
    <x v="2"/>
  </r>
  <r>
    <x v="31"/>
    <x v="13"/>
    <n v="422965.5"/>
    <n v="41767140.105000004"/>
    <n v="129"/>
    <n v="22403"/>
    <n v="20676"/>
    <x v="454"/>
    <x v="3"/>
  </r>
  <r>
    <x v="32"/>
    <x v="13"/>
    <n v="364882.5"/>
    <n v="35724493.5"/>
    <n v="129"/>
    <n v="20243"/>
    <n v="18711"/>
    <x v="455"/>
    <x v="4"/>
  </r>
  <r>
    <x v="33"/>
    <x v="13"/>
    <n v="294337.5"/>
    <n v="29327766"/>
    <n v="129"/>
    <n v="17235"/>
    <n v="16052"/>
    <x v="456"/>
    <x v="5"/>
  </r>
  <r>
    <x v="34"/>
    <x v="13"/>
    <n v="272926.5"/>
    <n v="27770092.5"/>
    <n v="128"/>
    <n v="16285"/>
    <n v="15130"/>
    <x v="457"/>
    <x v="6"/>
  </r>
  <r>
    <x v="0"/>
    <x v="14"/>
    <n v="12331.5"/>
    <n v="869983.5"/>
    <n v="10"/>
    <n v="580"/>
    <n v="506"/>
    <x v="458"/>
    <x v="0"/>
  </r>
  <r>
    <x v="1"/>
    <x v="14"/>
    <n v="10840.5"/>
    <n v="797919"/>
    <n v="10"/>
    <n v="502"/>
    <n v="433"/>
    <x v="459"/>
    <x v="1"/>
  </r>
  <r>
    <x v="2"/>
    <x v="14"/>
    <n v="8934"/>
    <n v="716196"/>
    <n v="10"/>
    <n v="448"/>
    <n v="376"/>
    <x v="460"/>
    <x v="2"/>
  </r>
  <r>
    <x v="3"/>
    <x v="14"/>
    <n v="11619"/>
    <n v="891139.5"/>
    <n v="10"/>
    <n v="554"/>
    <n v="472"/>
    <x v="461"/>
    <x v="3"/>
  </r>
  <r>
    <x v="4"/>
    <x v="14"/>
    <n v="7866"/>
    <n v="617881.5"/>
    <n v="10"/>
    <n v="416"/>
    <n v="341"/>
    <x v="462"/>
    <x v="4"/>
  </r>
  <r>
    <x v="5"/>
    <x v="14"/>
    <n v="8185.5"/>
    <n v="637881"/>
    <n v="10"/>
    <n v="402"/>
    <n v="333"/>
    <x v="463"/>
    <x v="5"/>
  </r>
  <r>
    <x v="6"/>
    <x v="14"/>
    <n v="9130.5"/>
    <n v="728890.5"/>
    <n v="10"/>
    <n v="462"/>
    <n v="396"/>
    <x v="464"/>
    <x v="6"/>
  </r>
  <r>
    <x v="7"/>
    <x v="14"/>
    <n v="10147.5"/>
    <n v="793320"/>
    <n v="10"/>
    <n v="511"/>
    <n v="437"/>
    <x v="465"/>
    <x v="0"/>
  </r>
  <r>
    <x v="8"/>
    <x v="14"/>
    <n v="9210"/>
    <n v="696832.5"/>
    <n v="10"/>
    <n v="465"/>
    <n v="390"/>
    <x v="466"/>
    <x v="1"/>
  </r>
  <r>
    <x v="9"/>
    <x v="14"/>
    <n v="11029.5"/>
    <n v="863754"/>
    <n v="10"/>
    <n v="563"/>
    <n v="486"/>
    <x v="467"/>
    <x v="2"/>
  </r>
  <r>
    <x v="10"/>
    <x v="14"/>
    <n v="12528"/>
    <n v="959703"/>
    <n v="10"/>
    <n v="638"/>
    <n v="547"/>
    <x v="468"/>
    <x v="3"/>
  </r>
  <r>
    <x v="11"/>
    <x v="14"/>
    <n v="13216.5"/>
    <n v="1046400"/>
    <n v="10"/>
    <n v="644"/>
    <n v="559"/>
    <x v="469"/>
    <x v="4"/>
  </r>
  <r>
    <x v="12"/>
    <x v="14"/>
    <n v="12918"/>
    <n v="1004788.5"/>
    <n v="10"/>
    <n v="642"/>
    <n v="556"/>
    <x v="470"/>
    <x v="5"/>
  </r>
  <r>
    <x v="13"/>
    <x v="14"/>
    <n v="9007.5"/>
    <n v="734335.5"/>
    <n v="10"/>
    <n v="494"/>
    <n v="421"/>
    <x v="471"/>
    <x v="6"/>
  </r>
  <r>
    <x v="14"/>
    <x v="14"/>
    <n v="9328.5"/>
    <n v="732964.5"/>
    <n v="10"/>
    <n v="526"/>
    <n v="448"/>
    <x v="472"/>
    <x v="0"/>
  </r>
  <r>
    <x v="15"/>
    <x v="14"/>
    <n v="11202"/>
    <n v="865714.5"/>
    <n v="10"/>
    <n v="612"/>
    <n v="530"/>
    <x v="473"/>
    <x v="1"/>
  </r>
  <r>
    <x v="16"/>
    <x v="14"/>
    <n v="12037.5"/>
    <n v="981564"/>
    <n v="10"/>
    <n v="627"/>
    <n v="545"/>
    <x v="474"/>
    <x v="2"/>
  </r>
  <r>
    <x v="17"/>
    <x v="14"/>
    <n v="14421"/>
    <n v="1150579.5"/>
    <n v="10"/>
    <n v="743"/>
    <n v="652"/>
    <x v="475"/>
    <x v="3"/>
  </r>
  <r>
    <x v="18"/>
    <x v="14"/>
    <n v="14265"/>
    <n v="1130506.5"/>
    <n v="10"/>
    <n v="760"/>
    <n v="672"/>
    <x v="476"/>
    <x v="4"/>
  </r>
  <r>
    <x v="19"/>
    <x v="14"/>
    <n v="10402.5"/>
    <n v="843727.5"/>
    <n v="10"/>
    <n v="591"/>
    <n v="513"/>
    <x v="477"/>
    <x v="5"/>
  </r>
  <r>
    <x v="20"/>
    <x v="14"/>
    <n v="11680.5"/>
    <n v="936427.5"/>
    <n v="10"/>
    <n v="645"/>
    <n v="565"/>
    <x v="478"/>
    <x v="6"/>
  </r>
  <r>
    <x v="21"/>
    <x v="14"/>
    <n v="11526"/>
    <n v="938764.5"/>
    <n v="10"/>
    <n v="649"/>
    <n v="568"/>
    <x v="479"/>
    <x v="0"/>
  </r>
  <r>
    <x v="22"/>
    <x v="14"/>
    <n v="13063.5"/>
    <n v="1037247"/>
    <n v="10"/>
    <n v="745"/>
    <n v="654"/>
    <x v="480"/>
    <x v="1"/>
  </r>
  <r>
    <x v="23"/>
    <x v="14"/>
    <n v="11250"/>
    <n v="935523"/>
    <n v="10"/>
    <n v="677"/>
    <n v="591"/>
    <x v="481"/>
    <x v="2"/>
  </r>
  <r>
    <x v="24"/>
    <x v="14"/>
    <n v="18036"/>
    <n v="1455049.5"/>
    <n v="10"/>
    <n v="965"/>
    <n v="861"/>
    <x v="482"/>
    <x v="3"/>
  </r>
  <r>
    <x v="25"/>
    <x v="14"/>
    <n v="14773.5"/>
    <n v="1241383.5"/>
    <n v="10"/>
    <n v="828"/>
    <n v="734"/>
    <x v="483"/>
    <x v="4"/>
  </r>
  <r>
    <x v="26"/>
    <x v="14"/>
    <n v="9994.5"/>
    <n v="828984"/>
    <n v="10"/>
    <n v="639"/>
    <n v="557"/>
    <x v="484"/>
    <x v="5"/>
  </r>
  <r>
    <x v="27"/>
    <x v="14"/>
    <n v="12280.5"/>
    <n v="1030440"/>
    <n v="10"/>
    <n v="739"/>
    <n v="642"/>
    <x v="485"/>
    <x v="6"/>
  </r>
  <r>
    <x v="28"/>
    <x v="14"/>
    <n v="11835"/>
    <n v="983109"/>
    <n v="10"/>
    <n v="692"/>
    <n v="601"/>
    <x v="486"/>
    <x v="0"/>
  </r>
  <r>
    <x v="29"/>
    <x v="14"/>
    <n v="12490.5"/>
    <n v="1054798.5"/>
    <n v="10"/>
    <n v="757"/>
    <n v="660"/>
    <x v="487"/>
    <x v="1"/>
  </r>
  <r>
    <x v="30"/>
    <x v="14"/>
    <n v="13038"/>
    <n v="1114552.5"/>
    <n v="10"/>
    <n v="791"/>
    <n v="697"/>
    <x v="488"/>
    <x v="2"/>
  </r>
  <r>
    <x v="31"/>
    <x v="14"/>
    <n v="14823"/>
    <n v="1273464"/>
    <n v="10"/>
    <n v="873"/>
    <n v="770"/>
    <x v="489"/>
    <x v="3"/>
  </r>
  <r>
    <x v="32"/>
    <x v="14"/>
    <n v="14728.5"/>
    <n v="1260483"/>
    <n v="10"/>
    <n v="865"/>
    <n v="763"/>
    <x v="490"/>
    <x v="4"/>
  </r>
  <r>
    <x v="33"/>
    <x v="14"/>
    <n v="12724.5"/>
    <n v="1045515"/>
    <n v="10"/>
    <n v="749"/>
    <n v="655"/>
    <x v="491"/>
    <x v="5"/>
  </r>
  <r>
    <x v="34"/>
    <x v="14"/>
    <n v="11416.5"/>
    <n v="1007742"/>
    <n v="10"/>
    <n v="719"/>
    <n v="627"/>
    <x v="492"/>
    <x v="6"/>
  </r>
  <r>
    <x v="33"/>
    <x v="15"/>
    <n v="6409.5"/>
    <n v="493893"/>
    <n v="9"/>
    <n v="345"/>
    <n v="255"/>
    <x v="493"/>
    <x v="5"/>
  </r>
  <r>
    <x v="34"/>
    <x v="15"/>
    <n v="5166"/>
    <n v="389013"/>
    <n v="9"/>
    <n v="294"/>
    <n v="224"/>
    <x v="494"/>
    <x v="6"/>
  </r>
  <r>
    <x v="28"/>
    <x v="16"/>
    <n v="10437"/>
    <n v="833815.5"/>
    <n v="7"/>
    <n v="577"/>
    <n v="389"/>
    <x v="495"/>
    <x v="0"/>
  </r>
  <r>
    <x v="29"/>
    <x v="16"/>
    <n v="8362.5"/>
    <n v="687684"/>
    <n v="7"/>
    <n v="409"/>
    <n v="329"/>
    <x v="496"/>
    <x v="1"/>
  </r>
  <r>
    <x v="30"/>
    <x v="16"/>
    <n v="8428.5"/>
    <n v="694669.5"/>
    <n v="7"/>
    <n v="420"/>
    <n v="347"/>
    <x v="497"/>
    <x v="2"/>
  </r>
  <r>
    <x v="31"/>
    <x v="16"/>
    <n v="9927"/>
    <n v="850840.5"/>
    <n v="7"/>
    <n v="491"/>
    <n v="411"/>
    <x v="498"/>
    <x v="3"/>
  </r>
  <r>
    <x v="32"/>
    <x v="16"/>
    <n v="11220"/>
    <n v="928675.5"/>
    <n v="7"/>
    <n v="532"/>
    <n v="449"/>
    <x v="499"/>
    <x v="4"/>
  </r>
  <r>
    <x v="33"/>
    <x v="16"/>
    <n v="10416"/>
    <n v="866023.5"/>
    <n v="7"/>
    <n v="530"/>
    <n v="447"/>
    <x v="500"/>
    <x v="5"/>
  </r>
  <r>
    <x v="34"/>
    <x v="16"/>
    <n v="9474"/>
    <n v="802447.5"/>
    <n v="7"/>
    <n v="500"/>
    <n v="418"/>
    <x v="501"/>
    <x v="6"/>
  </r>
  <r>
    <x v="33"/>
    <x v="17"/>
    <n v="5127"/>
    <n v="468835.5"/>
    <n v="6"/>
    <n v="261"/>
    <n v="188"/>
    <x v="502"/>
    <x v="5"/>
  </r>
  <r>
    <x v="34"/>
    <x v="17"/>
    <n v="4408.5"/>
    <n v="410892"/>
    <n v="6"/>
    <n v="237"/>
    <n v="175"/>
    <x v="503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d v="2020-04-28T00:00:00"/>
    <x v="0"/>
    <n v="73147.5"/>
    <n v="6288246"/>
    <n v="36"/>
    <n v="4923"/>
    <n v="4560"/>
    <n v="459969474285"/>
    <x v="0"/>
  </r>
  <r>
    <d v="2020-04-29T00:00:00"/>
    <x v="0"/>
    <n v="74707.5"/>
    <n v="6454458"/>
    <n v="36"/>
    <n v="4937"/>
    <n v="4561"/>
    <n v="482196421035"/>
    <x v="1"/>
  </r>
  <r>
    <d v="2020-04-30T00:00:00"/>
    <x v="0"/>
    <n v="78235.5"/>
    <n v="6819594"/>
    <n v="36"/>
    <n v="5143"/>
    <n v="4715"/>
    <n v="533534346387"/>
    <x v="2"/>
  </r>
  <r>
    <d v="2020-05-01T00:00:00"/>
    <x v="0"/>
    <n v="82228.5"/>
    <n v="7032225"/>
    <n v="36"/>
    <n v="5457"/>
    <n v="4916"/>
    <n v="578249313412.5"/>
    <x v="3"/>
  </r>
  <r>
    <d v="2020-05-02T00:00:00"/>
    <x v="0"/>
    <n v="46216.5"/>
    <n v="4118251.5"/>
    <n v="36"/>
    <n v="3442"/>
    <n v="3147"/>
    <n v="190331170449.75"/>
    <x v="4"/>
  </r>
  <r>
    <d v="2020-05-03T00:00:00"/>
    <x v="0"/>
    <n v="70581"/>
    <n v="6221320.5"/>
    <n v="36"/>
    <n v="4751"/>
    <n v="4370"/>
    <n v="439107022210.5"/>
    <x v="5"/>
  </r>
  <r>
    <d v="2020-05-04T00:00:00"/>
    <x v="0"/>
    <n v="64108.5"/>
    <n v="5561452.5"/>
    <n v="36"/>
    <n v="4508"/>
    <n v="4149"/>
    <n v="356536377596.25"/>
    <x v="6"/>
  </r>
  <r>
    <d v="2020-05-05T00:00:00"/>
    <x v="0"/>
    <n v="66396"/>
    <n v="5770539"/>
    <n v="36"/>
    <n v="4575"/>
    <n v="4206"/>
    <n v="383140707444"/>
    <x v="0"/>
  </r>
  <r>
    <d v="2020-05-06T00:00:00"/>
    <x v="0"/>
    <n v="63012"/>
    <n v="5454121.5"/>
    <n v="36"/>
    <n v="4384"/>
    <n v="4025"/>
    <n v="343675103958"/>
    <x v="1"/>
  </r>
  <r>
    <d v="2020-05-07T00:00:00"/>
    <x v="0"/>
    <n v="71067"/>
    <n v="6175837.5"/>
    <n v="36"/>
    <n v="4826"/>
    <n v="4426"/>
    <n v="438898243612.5"/>
    <x v="2"/>
  </r>
  <r>
    <d v="2020-05-08T00:00:00"/>
    <x v="0"/>
    <n v="61804.5"/>
    <n v="5365708.5"/>
    <n v="36"/>
    <n v="4199"/>
    <n v="3867"/>
    <n v="331624930988.25"/>
    <x v="3"/>
  </r>
  <r>
    <d v="2020-05-09T00:00:00"/>
    <x v="0"/>
    <n v="83373"/>
    <n v="7253427"/>
    <n v="36"/>
    <n v="5413"/>
    <n v="4959"/>
    <n v="604739969271"/>
    <x v="4"/>
  </r>
  <r>
    <d v="2020-05-10T00:00:00"/>
    <x v="0"/>
    <n v="88311"/>
    <n v="7726069.5"/>
    <n v="36"/>
    <n v="5746"/>
    <n v="5277"/>
    <n v="682296923614.5"/>
    <x v="5"/>
  </r>
  <r>
    <d v="2020-05-11T00:00:00"/>
    <x v="0"/>
    <n v="59574"/>
    <n v="5178169.5"/>
    <n v="36"/>
    <n v="4150"/>
    <n v="3838"/>
    <n v="308484269793"/>
    <x v="6"/>
  </r>
  <r>
    <d v="2020-05-12T00:00:00"/>
    <x v="0"/>
    <n v="64390.5"/>
    <n v="5523145.5"/>
    <n v="36"/>
    <n v="4418"/>
    <n v="4088"/>
    <n v="355638100317.75"/>
    <x v="0"/>
  </r>
  <r>
    <d v="2020-05-13T00:00:00"/>
    <x v="0"/>
    <n v="73062"/>
    <n v="6333828"/>
    <n v="36"/>
    <n v="4967"/>
    <n v="4583"/>
    <n v="462762141336"/>
    <x v="1"/>
  </r>
  <r>
    <d v="2020-05-14T00:00:00"/>
    <x v="0"/>
    <n v="63645"/>
    <n v="5366602.5"/>
    <n v="36"/>
    <n v="4285"/>
    <n v="3950"/>
    <n v="341557416112.5"/>
    <x v="2"/>
  </r>
  <r>
    <d v="2020-05-15T00:00:00"/>
    <x v="0"/>
    <n v="75642"/>
    <n v="6293952"/>
    <n v="36"/>
    <n v="4862"/>
    <n v="4476"/>
    <n v="476087117184"/>
    <x v="3"/>
  </r>
  <r>
    <d v="2020-05-16T00:00:00"/>
    <x v="0"/>
    <n v="81331.5"/>
    <n v="6652179"/>
    <n v="36"/>
    <n v="5286"/>
    <n v="4867"/>
    <n v="541031696338.5"/>
    <x v="4"/>
  </r>
  <r>
    <d v="2020-05-17T00:00:00"/>
    <x v="0"/>
    <n v="72861"/>
    <n v="5952802.5"/>
    <n v="36"/>
    <n v="4918"/>
    <n v="4554"/>
    <n v="433727142952.5"/>
    <x v="5"/>
  </r>
  <r>
    <d v="2020-05-18T00:00:00"/>
    <x v="0"/>
    <n v="70278"/>
    <n v="5798476.5"/>
    <n v="36"/>
    <n v="4885"/>
    <n v="4502"/>
    <n v="407505331467"/>
    <x v="6"/>
  </r>
  <r>
    <d v="2020-05-19T00:00:00"/>
    <x v="0"/>
    <n v="75796.5"/>
    <n v="6173463"/>
    <n v="36"/>
    <n v="5094"/>
    <n v="4716"/>
    <n v="467926888279.5"/>
    <x v="0"/>
  </r>
  <r>
    <d v="2020-05-20T00:00:00"/>
    <x v="0"/>
    <n v="99631.5"/>
    <n v="7121946"/>
    <n v="36"/>
    <n v="5914"/>
    <n v="5384"/>
    <n v="709570162899"/>
    <x v="1"/>
  </r>
  <r>
    <d v="2020-05-21T00:00:00"/>
    <x v="0"/>
    <n v="73126.5"/>
    <n v="5864085"/>
    <n v="36"/>
    <n v="4816"/>
    <n v="4452"/>
    <n v="428820011752.5"/>
    <x v="2"/>
  </r>
  <r>
    <d v="2020-05-22T00:00:00"/>
    <x v="0"/>
    <n v="75820.5"/>
    <n v="5943489"/>
    <n v="36"/>
    <n v="4857"/>
    <n v="4456"/>
    <n v="450638307724.5"/>
    <x v="3"/>
  </r>
  <r>
    <d v="2020-05-23T00:00:00"/>
    <x v="0"/>
    <n v="89556"/>
    <n v="7173117"/>
    <n v="36"/>
    <n v="5651"/>
    <n v="5212"/>
    <n v="642395666052"/>
    <x v="4"/>
  </r>
  <r>
    <d v="2020-05-24T00:00:00"/>
    <x v="0"/>
    <n v="74649"/>
    <n v="6098236.5"/>
    <n v="36"/>
    <n v="4915"/>
    <n v="4562"/>
    <n v="455227256488.5"/>
    <x v="5"/>
  </r>
  <r>
    <d v="2020-05-25T00:00:00"/>
    <x v="0"/>
    <n v="66316.5"/>
    <n v="5704650"/>
    <n v="36"/>
    <n v="4641"/>
    <n v="4274"/>
    <n v="378312421725"/>
    <x v="6"/>
  </r>
  <r>
    <d v="2020-05-26T00:00:00"/>
    <x v="0"/>
    <n v="67726.5"/>
    <n v="5864989.5"/>
    <n v="36"/>
    <n v="4770"/>
    <n v="4424"/>
    <n v="397215211371.75"/>
    <x v="0"/>
  </r>
  <r>
    <d v="2020-05-27T00:00:00"/>
    <x v="0"/>
    <n v="69010.5"/>
    <n v="5985894"/>
    <n v="36"/>
    <n v="4951"/>
    <n v="4584"/>
    <n v="413089537887"/>
    <x v="1"/>
  </r>
  <r>
    <d v="2020-05-28T00:00:00"/>
    <x v="0"/>
    <n v="69945"/>
    <n v="6101931"/>
    <n v="37"/>
    <n v="4840"/>
    <n v="4475"/>
    <n v="426799563795"/>
    <x v="2"/>
  </r>
  <r>
    <d v="2020-05-29T00:00:00"/>
    <x v="0"/>
    <n v="84433.5"/>
    <n v="7228395"/>
    <n v="37"/>
    <n v="5672"/>
    <n v="5198"/>
    <n v="610318689232.5"/>
    <x v="3"/>
  </r>
  <r>
    <d v="2020-05-30T00:00:00"/>
    <x v="0"/>
    <n v="106926"/>
    <n v="9098386.5"/>
    <n v="37"/>
    <n v="6645"/>
    <n v="6122"/>
    <n v="972854074899"/>
    <x v="4"/>
  </r>
  <r>
    <d v="2020-05-31T00:00:00"/>
    <x v="0"/>
    <n v="76234.5"/>
    <n v="6500848.5"/>
    <n v="37"/>
    <n v="5215"/>
    <n v="4848"/>
    <n v="495588934973.25"/>
    <x v="5"/>
  </r>
  <r>
    <d v="2020-06-01T00:00:00"/>
    <x v="0"/>
    <n v="64740"/>
    <n v="5800290"/>
    <n v="37"/>
    <n v="4722"/>
    <n v="4352"/>
    <n v="375510774600"/>
    <x v="6"/>
  </r>
  <r>
    <d v="2020-04-28T00:00:00"/>
    <x v="1"/>
    <n v="81826.5"/>
    <n v="7163644.5"/>
    <n v="31"/>
    <n v="5465"/>
    <n v="5096"/>
    <n v="586175956679.25"/>
    <x v="0"/>
  </r>
  <r>
    <d v="2020-04-29T00:00:00"/>
    <x v="1"/>
    <n v="79527"/>
    <n v="7180498.5"/>
    <n v="31"/>
    <n v="5378"/>
    <n v="4985"/>
    <n v="571043504209.5"/>
    <x v="1"/>
  </r>
  <r>
    <d v="2020-04-30T00:00:00"/>
    <x v="1"/>
    <n v="77565"/>
    <n v="7023727.5"/>
    <n v="31"/>
    <n v="5120"/>
    <n v="4737"/>
    <n v="544795423537.5"/>
    <x v="2"/>
  </r>
  <r>
    <d v="2020-05-01T00:00:00"/>
    <x v="1"/>
    <n v="97534.5"/>
    <n v="8893024.5"/>
    <n v="31"/>
    <n v="6118"/>
    <n v="5564"/>
    <n v="867376698095.25"/>
    <x v="3"/>
  </r>
  <r>
    <d v="2020-05-02T00:00:00"/>
    <x v="1"/>
    <n v="60463.5"/>
    <n v="5554192.5"/>
    <n v="31"/>
    <n v="4157"/>
    <n v="3823"/>
    <n v="335825918223.75"/>
    <x v="4"/>
  </r>
  <r>
    <d v="2020-05-03T00:00:00"/>
    <x v="1"/>
    <n v="77263.5"/>
    <n v="7013670"/>
    <n v="31"/>
    <n v="5155"/>
    <n v="4762"/>
    <n v="541900692045"/>
    <x v="5"/>
  </r>
  <r>
    <d v="2020-05-04T00:00:00"/>
    <x v="1"/>
    <n v="72928.5"/>
    <n v="6642249"/>
    <n v="31"/>
    <n v="4968"/>
    <n v="4596"/>
    <n v="484409256196.5"/>
    <x v="6"/>
  </r>
  <r>
    <d v="2020-05-05T00:00:00"/>
    <x v="1"/>
    <n v="76585.5"/>
    <n v="6921316.5"/>
    <n v="31"/>
    <n v="5188"/>
    <n v="4800"/>
    <n v="530072484810.75"/>
    <x v="0"/>
  </r>
  <r>
    <d v="2020-05-06T00:00:00"/>
    <x v="1"/>
    <n v="68994"/>
    <n v="6168657"/>
    <n v="31"/>
    <n v="4709"/>
    <n v="4348"/>
    <n v="425600321058"/>
    <x v="1"/>
  </r>
  <r>
    <d v="2020-05-07T00:00:00"/>
    <x v="1"/>
    <n v="73204.5"/>
    <n v="6591883.5"/>
    <n v="31"/>
    <n v="4903"/>
    <n v="4527"/>
    <n v="482555535675.75"/>
    <x v="2"/>
  </r>
  <r>
    <d v="2020-05-08T00:00:00"/>
    <x v="1"/>
    <n v="69544.5"/>
    <n v="6293776.5"/>
    <n v="31"/>
    <n v="4635"/>
    <n v="4266"/>
    <n v="437697539804.25"/>
    <x v="3"/>
  </r>
  <r>
    <d v="2020-05-09T00:00:00"/>
    <x v="1"/>
    <n v="69720"/>
    <n v="6264933"/>
    <n v="31"/>
    <n v="4556"/>
    <n v="4220"/>
    <n v="436791128760"/>
    <x v="4"/>
  </r>
  <r>
    <d v="2020-05-10T00:00:00"/>
    <x v="1"/>
    <n v="84132"/>
    <n v="7483194"/>
    <n v="31"/>
    <n v="5495"/>
    <n v="5093"/>
    <n v="629576077608"/>
    <x v="5"/>
  </r>
  <r>
    <d v="2020-05-11T00:00:00"/>
    <x v="1"/>
    <n v="72220.5"/>
    <n v="6398719.5"/>
    <n v="31"/>
    <n v="4826"/>
    <n v="4483"/>
    <n v="462118721649.75"/>
    <x v="6"/>
  </r>
  <r>
    <d v="2020-05-12T00:00:00"/>
    <x v="1"/>
    <n v="71520"/>
    <n v="6398361"/>
    <n v="31"/>
    <n v="4800"/>
    <n v="4470"/>
    <n v="457610778720"/>
    <x v="0"/>
  </r>
  <r>
    <d v="2020-05-13T00:00:00"/>
    <x v="1"/>
    <n v="78846"/>
    <n v="6993952.5"/>
    <n v="31"/>
    <n v="5251"/>
    <n v="4853"/>
    <n v="551445178815"/>
    <x v="1"/>
  </r>
  <r>
    <d v="2020-05-14T00:00:00"/>
    <x v="1"/>
    <n v="70498.5"/>
    <n v="6053649"/>
    <n v="31"/>
    <n v="4695"/>
    <n v="4372"/>
    <n v="426773174026.5"/>
    <x v="2"/>
  </r>
  <r>
    <d v="2020-05-15T00:00:00"/>
    <x v="1"/>
    <n v="78961.5"/>
    <n v="6876454.5"/>
    <n v="31"/>
    <n v="5184"/>
    <n v="4778"/>
    <n v="542975162001.75"/>
    <x v="3"/>
  </r>
  <r>
    <d v="2020-05-16T00:00:00"/>
    <x v="1"/>
    <n v="88063.5"/>
    <n v="7583758.5"/>
    <n v="31"/>
    <n v="5593"/>
    <n v="5177"/>
    <n v="667852316664.75"/>
    <x v="4"/>
  </r>
  <r>
    <d v="2020-05-17T00:00:00"/>
    <x v="1"/>
    <n v="78057"/>
    <n v="6774946.5"/>
    <n v="31"/>
    <n v="5206"/>
    <n v="4843"/>
    <n v="528831998950.5"/>
    <x v="5"/>
  </r>
  <r>
    <d v="2020-05-18T00:00:00"/>
    <x v="1"/>
    <n v="78058.5"/>
    <n v="6609714"/>
    <n v="31"/>
    <n v="5165"/>
    <n v="4813"/>
    <n v="515944360269"/>
    <x v="6"/>
  </r>
  <r>
    <d v="2020-05-19T00:00:00"/>
    <x v="1"/>
    <n v="84024"/>
    <n v="6815511"/>
    <n v="31"/>
    <n v="5389"/>
    <n v="5024"/>
    <n v="572666496264"/>
    <x v="0"/>
  </r>
  <r>
    <d v="2020-05-20T00:00:00"/>
    <x v="1"/>
    <n v="93313.5"/>
    <n v="7247575.5"/>
    <n v="31"/>
    <n v="5698"/>
    <n v="5258"/>
    <n v="676296636419.25"/>
    <x v="1"/>
  </r>
  <r>
    <d v="2020-05-21T00:00:00"/>
    <x v="1"/>
    <n v="79485"/>
    <n v="6633847.5"/>
    <n v="31"/>
    <n v="5207"/>
    <n v="4868"/>
    <n v="527291368537.5"/>
    <x v="2"/>
  </r>
  <r>
    <d v="2020-05-22T00:00:00"/>
    <x v="1"/>
    <n v="97963.5"/>
    <n v="7728465"/>
    <n v="31"/>
    <n v="5965"/>
    <n v="5533"/>
    <n v="757107481027.5"/>
    <x v="3"/>
  </r>
  <r>
    <d v="2020-05-23T00:00:00"/>
    <x v="1"/>
    <n v="102889.5"/>
    <n v="8089143"/>
    <n v="31"/>
    <n v="6276"/>
    <n v="5801"/>
    <n v="832287878698.5"/>
    <x v="4"/>
  </r>
  <r>
    <d v="2020-05-24T00:00:00"/>
    <x v="1"/>
    <n v="76663.5"/>
    <n v="6451032"/>
    <n v="31"/>
    <n v="5035"/>
    <n v="4683"/>
    <n v="494558691732"/>
    <x v="5"/>
  </r>
  <r>
    <d v="2020-05-25T00:00:00"/>
    <x v="1"/>
    <n v="76999.5"/>
    <n v="6645603"/>
    <n v="31"/>
    <n v="5210"/>
    <n v="4841"/>
    <n v="511708108198.5"/>
    <x v="6"/>
  </r>
  <r>
    <d v="2020-05-26T00:00:00"/>
    <x v="1"/>
    <n v="79975.5"/>
    <n v="6676459.5"/>
    <n v="31"/>
    <n v="5493"/>
    <n v="5119"/>
    <n v="533953186742.25"/>
    <x v="0"/>
  </r>
  <r>
    <d v="2020-05-27T00:00:00"/>
    <x v="1"/>
    <n v="78544.5"/>
    <n v="6701083.5"/>
    <n v="31"/>
    <n v="5330"/>
    <n v="4977"/>
    <n v="526333252965.75"/>
    <x v="1"/>
  </r>
  <r>
    <d v="2020-05-28T00:00:00"/>
    <x v="1"/>
    <n v="78141"/>
    <n v="6641569.5"/>
    <n v="31"/>
    <n v="5355"/>
    <n v="4969"/>
    <n v="518978882299.5"/>
    <x v="2"/>
  </r>
  <r>
    <d v="2020-05-29T00:00:00"/>
    <x v="1"/>
    <n v="87552"/>
    <n v="7387116"/>
    <n v="31"/>
    <n v="5751"/>
    <n v="5319"/>
    <n v="646756780032"/>
    <x v="3"/>
  </r>
  <r>
    <d v="2020-05-30T00:00:00"/>
    <x v="1"/>
    <n v="108123"/>
    <n v="9164707.5"/>
    <n v="31"/>
    <n v="6735"/>
    <n v="6264"/>
    <n v="990915669022.5"/>
    <x v="4"/>
  </r>
  <r>
    <d v="2020-05-31T00:00:00"/>
    <x v="1"/>
    <n v="89149.5"/>
    <n v="7512646.5"/>
    <n v="31"/>
    <n v="5760"/>
    <n v="5367"/>
    <n v="669748679151.75"/>
    <x v="5"/>
  </r>
  <r>
    <d v="2020-06-01T00:00:00"/>
    <x v="1"/>
    <n v="77269.5"/>
    <n v="6829921.5"/>
    <n v="31"/>
    <n v="5468"/>
    <n v="5081"/>
    <n v="527744619344.25"/>
    <x v="6"/>
  </r>
  <r>
    <d v="2020-04-28T00:00:00"/>
    <x v="2"/>
    <n v="32181"/>
    <n v="2863600.5"/>
    <n v="19"/>
    <n v="1846"/>
    <n v="1681"/>
    <n v="92153527690.5"/>
    <x v="0"/>
  </r>
  <r>
    <d v="2020-04-29T00:00:00"/>
    <x v="2"/>
    <n v="29142"/>
    <n v="2627595"/>
    <n v="19"/>
    <n v="1676"/>
    <n v="1516"/>
    <n v="76573373490"/>
    <x v="1"/>
  </r>
  <r>
    <d v="2020-04-30T00:00:00"/>
    <x v="2"/>
    <n v="31231.5"/>
    <n v="2853310.5"/>
    <n v="20"/>
    <n v="1756"/>
    <n v="1586"/>
    <n v="89113166880.75"/>
    <x v="2"/>
  </r>
  <r>
    <d v="2020-05-01T00:00:00"/>
    <x v="2"/>
    <n v="46620"/>
    <n v="4293241.5"/>
    <n v="20"/>
    <n v="2468"/>
    <n v="2221"/>
    <n v="200150918730"/>
    <x v="3"/>
  </r>
  <r>
    <d v="2020-05-02T00:00:00"/>
    <x v="2"/>
    <n v="26428.5"/>
    <n v="2470465.5"/>
    <n v="20"/>
    <n v="1613"/>
    <n v="1457"/>
    <n v="65290697466.75"/>
    <x v="4"/>
  </r>
  <r>
    <d v="2020-05-03T00:00:00"/>
    <x v="2"/>
    <n v="29935.5"/>
    <n v="2720002.5"/>
    <n v="20"/>
    <n v="1716"/>
    <n v="1561"/>
    <n v="81424634838.75"/>
    <x v="5"/>
  </r>
  <r>
    <d v="2020-05-04T00:00:00"/>
    <x v="2"/>
    <n v="30780"/>
    <n v="2817853.5"/>
    <n v="20"/>
    <n v="1804"/>
    <n v="1638"/>
    <n v="86733530730"/>
    <x v="6"/>
  </r>
  <r>
    <d v="2020-05-05T00:00:00"/>
    <x v="2"/>
    <n v="29482.5"/>
    <n v="2648688"/>
    <n v="20"/>
    <n v="1757"/>
    <n v="1596"/>
    <n v="78089943960"/>
    <x v="0"/>
  </r>
  <r>
    <d v="2020-05-06T00:00:00"/>
    <x v="2"/>
    <n v="30342"/>
    <n v="2738127"/>
    <n v="20"/>
    <n v="1747"/>
    <n v="1570"/>
    <n v="83080249434"/>
    <x v="1"/>
  </r>
  <r>
    <d v="2020-05-07T00:00:00"/>
    <x v="2"/>
    <n v="32851.5"/>
    <n v="2934504"/>
    <n v="21"/>
    <n v="1879"/>
    <n v="1695"/>
    <n v="96402858156"/>
    <x v="2"/>
  </r>
  <r>
    <d v="2020-05-08T00:00:00"/>
    <x v="2"/>
    <n v="34399.5"/>
    <n v="3201358.5"/>
    <n v="21"/>
    <n v="1957"/>
    <n v="1755"/>
    <n v="110125131720.75"/>
    <x v="3"/>
  </r>
  <r>
    <d v="2020-05-09T00:00:00"/>
    <x v="2"/>
    <n v="32239.5"/>
    <n v="3084892.5"/>
    <n v="21"/>
    <n v="1891"/>
    <n v="1709"/>
    <n v="99455391753.75"/>
    <x v="4"/>
  </r>
  <r>
    <d v="2020-05-10T00:00:00"/>
    <x v="2"/>
    <n v="37489.5"/>
    <n v="3549097.5"/>
    <n v="21"/>
    <n v="2120"/>
    <n v="1921"/>
    <n v="133053890726.25"/>
    <x v="5"/>
  </r>
  <r>
    <d v="2020-05-11T00:00:00"/>
    <x v="2"/>
    <n v="32733"/>
    <n v="3079630.5"/>
    <n v="21"/>
    <n v="1916"/>
    <n v="1733"/>
    <n v="100805545156.5"/>
    <x v="6"/>
  </r>
  <r>
    <d v="2020-05-12T00:00:00"/>
    <x v="2"/>
    <n v="32419.5"/>
    <n v="3080614.5"/>
    <n v="21"/>
    <n v="1926"/>
    <n v="1745"/>
    <n v="99871981782.75"/>
    <x v="0"/>
  </r>
  <r>
    <d v="2020-05-13T00:00:00"/>
    <x v="2"/>
    <n v="35535"/>
    <n v="3288069"/>
    <n v="21"/>
    <n v="2061"/>
    <n v="1876"/>
    <n v="116841531915"/>
    <x v="1"/>
  </r>
  <r>
    <d v="2020-05-14T00:00:00"/>
    <x v="2"/>
    <n v="33886.5"/>
    <n v="3166479"/>
    <n v="21"/>
    <n v="1993"/>
    <n v="1796"/>
    <n v="107300890633.5"/>
    <x v="2"/>
  </r>
  <r>
    <d v="2020-05-15T00:00:00"/>
    <x v="2"/>
    <n v="41697"/>
    <n v="3772258.5"/>
    <n v="21"/>
    <n v="2255"/>
    <n v="2045"/>
    <n v="157291862674.5"/>
    <x v="3"/>
  </r>
  <r>
    <d v="2020-05-16T00:00:00"/>
    <x v="2"/>
    <n v="44560.5"/>
    <n v="4025148"/>
    <n v="21"/>
    <n v="2427"/>
    <n v="2213"/>
    <n v="179362607454"/>
    <x v="4"/>
  </r>
  <r>
    <d v="2020-05-17T00:00:00"/>
    <x v="2"/>
    <n v="34830"/>
    <n v="3191155.5"/>
    <n v="21"/>
    <n v="2054"/>
    <n v="1883"/>
    <n v="111147946065"/>
    <x v="5"/>
  </r>
  <r>
    <d v="2020-05-18T00:00:00"/>
    <x v="2"/>
    <n v="36655.5"/>
    <n v="3360135"/>
    <n v="21"/>
    <n v="2136"/>
    <n v="1947"/>
    <n v="123167428492.5"/>
    <x v="6"/>
  </r>
  <r>
    <d v="2020-05-19T00:00:00"/>
    <x v="2"/>
    <n v="38250"/>
    <n v="3552937.5"/>
    <n v="21"/>
    <n v="2245"/>
    <n v="2053"/>
    <n v="135899859375"/>
    <x v="0"/>
  </r>
  <r>
    <d v="2020-05-20T00:00:00"/>
    <x v="2"/>
    <n v="41391"/>
    <n v="3918987"/>
    <n v="21"/>
    <n v="2410"/>
    <n v="2202"/>
    <n v="162210790917"/>
    <x v="1"/>
  </r>
  <r>
    <d v="2020-05-21T00:00:00"/>
    <x v="2"/>
    <n v="40819.5"/>
    <n v="3810394.5"/>
    <n v="21"/>
    <n v="2335"/>
    <n v="2126"/>
    <n v="155538398292.75"/>
    <x v="2"/>
  </r>
  <r>
    <d v="2020-05-22T00:00:00"/>
    <x v="2"/>
    <n v="53838"/>
    <n v="4840833"/>
    <n v="21"/>
    <n v="2861"/>
    <n v="2612"/>
    <n v="260620767054"/>
    <x v="3"/>
  </r>
  <r>
    <d v="2020-05-23T00:00:00"/>
    <x v="2"/>
    <n v="42999"/>
    <n v="3883215"/>
    <n v="21"/>
    <n v="2460"/>
    <n v="2226"/>
    <n v="166974361785"/>
    <x v="4"/>
  </r>
  <r>
    <d v="2020-05-24T00:00:00"/>
    <x v="2"/>
    <n v="38194.5"/>
    <n v="3449302.5"/>
    <n v="21"/>
    <n v="2254"/>
    <n v="2061"/>
    <n v="131744384336.25"/>
    <x v="5"/>
  </r>
  <r>
    <d v="2020-05-25T00:00:00"/>
    <x v="2"/>
    <n v="38740.5"/>
    <n v="3561655.5"/>
    <n v="21"/>
    <n v="2330"/>
    <n v="2142"/>
    <n v="137980314897.75"/>
    <x v="6"/>
  </r>
  <r>
    <d v="2020-05-26T00:00:00"/>
    <x v="2"/>
    <n v="40744.5"/>
    <n v="3700311"/>
    <n v="21"/>
    <n v="2418"/>
    <n v="2215"/>
    <n v="150767321539.5"/>
    <x v="0"/>
  </r>
  <r>
    <d v="2020-05-27T00:00:00"/>
    <x v="2"/>
    <n v="40420.5"/>
    <n v="3780852"/>
    <n v="21"/>
    <n v="2430"/>
    <n v="2216"/>
    <n v="152823928266"/>
    <x v="1"/>
  </r>
  <r>
    <d v="2020-05-28T00:00:00"/>
    <x v="2"/>
    <n v="41442"/>
    <n v="3893680.5"/>
    <n v="22"/>
    <n v="2454"/>
    <n v="2239"/>
    <n v="161361907281"/>
    <x v="2"/>
  </r>
  <r>
    <d v="2020-05-29T00:00:00"/>
    <x v="2"/>
    <n v="44569.5"/>
    <n v="4108596"/>
    <n v="22"/>
    <n v="2597"/>
    <n v="2379"/>
    <n v="183118069422"/>
    <x v="3"/>
  </r>
  <r>
    <d v="2020-05-30T00:00:00"/>
    <x v="2"/>
    <n v="48286.5"/>
    <n v="4456441.5"/>
    <n v="22"/>
    <n v="2793"/>
    <n v="2539"/>
    <n v="215185962489.75"/>
    <x v="4"/>
  </r>
  <r>
    <d v="2020-05-31T00:00:00"/>
    <x v="2"/>
    <n v="42423"/>
    <n v="3994153.5"/>
    <n v="23"/>
    <n v="2522"/>
    <n v="2295"/>
    <n v="169443973930.5"/>
    <x v="5"/>
  </r>
  <r>
    <d v="2020-06-01T00:00:00"/>
    <x v="2"/>
    <n v="40528.5"/>
    <n v="3865251"/>
    <n v="23"/>
    <n v="2531"/>
    <n v="2296"/>
    <n v="156652825153.5"/>
    <x v="6"/>
  </r>
  <r>
    <d v="2020-04-28T00:00:00"/>
    <x v="3"/>
    <n v="26940"/>
    <n v="2411587.5"/>
    <n v="18"/>
    <n v="1539"/>
    <n v="1404"/>
    <n v="64968167250"/>
    <x v="0"/>
  </r>
  <r>
    <d v="2020-04-29T00:00:00"/>
    <x v="3"/>
    <n v="29319"/>
    <n v="2623480.5"/>
    <n v="18"/>
    <n v="1684"/>
    <n v="1528"/>
    <n v="76917824779.5"/>
    <x v="1"/>
  </r>
  <r>
    <d v="2020-04-30T00:00:00"/>
    <x v="3"/>
    <n v="30445.5"/>
    <n v="2817196.5"/>
    <n v="19"/>
    <n v="1712"/>
    <n v="1552"/>
    <n v="85770956040.75"/>
    <x v="2"/>
  </r>
  <r>
    <d v="2020-05-01T00:00:00"/>
    <x v="3"/>
    <n v="32487"/>
    <n v="3031254"/>
    <n v="18"/>
    <n v="1826"/>
    <n v="1633"/>
    <n v="98476348698"/>
    <x v="3"/>
  </r>
  <r>
    <d v="2020-05-02T00:00:00"/>
    <x v="3"/>
    <n v="29031"/>
    <n v="2711247"/>
    <n v="18"/>
    <n v="1708"/>
    <n v="1534"/>
    <n v="78710211657"/>
    <x v="4"/>
  </r>
  <r>
    <d v="2020-05-03T00:00:00"/>
    <x v="3"/>
    <n v="26082"/>
    <n v="2434914"/>
    <n v="20"/>
    <n v="1520"/>
    <n v="1373"/>
    <n v="63507426948"/>
    <x v="5"/>
  </r>
  <r>
    <d v="2020-05-04T00:00:00"/>
    <x v="3"/>
    <n v="25566"/>
    <n v="2372310"/>
    <n v="20"/>
    <n v="1519"/>
    <n v="1372"/>
    <n v="60650477460"/>
    <x v="6"/>
  </r>
  <r>
    <d v="2020-05-05T00:00:00"/>
    <x v="3"/>
    <n v="31566"/>
    <n v="2906763"/>
    <n v="20"/>
    <n v="1773"/>
    <n v="1604"/>
    <n v="91754880858"/>
    <x v="0"/>
  </r>
  <r>
    <d v="2020-05-06T00:00:00"/>
    <x v="3"/>
    <n v="32511"/>
    <n v="2938623"/>
    <n v="20"/>
    <n v="1784"/>
    <n v="1632"/>
    <n v="95537572353"/>
    <x v="1"/>
  </r>
  <r>
    <d v="2020-05-07T00:00:00"/>
    <x v="3"/>
    <n v="27018"/>
    <n v="2472213"/>
    <n v="21"/>
    <n v="1542"/>
    <n v="1405"/>
    <n v="66794250834"/>
    <x v="2"/>
  </r>
  <r>
    <d v="2020-05-08T00:00:00"/>
    <x v="3"/>
    <n v="29409"/>
    <n v="2645160"/>
    <n v="21"/>
    <n v="1646"/>
    <n v="1492"/>
    <n v="77791510440"/>
    <x v="3"/>
  </r>
  <r>
    <d v="2020-05-09T00:00:00"/>
    <x v="3"/>
    <n v="31147.5"/>
    <n v="2831019"/>
    <n v="21"/>
    <n v="1735"/>
    <n v="1568"/>
    <n v="88179164302.5"/>
    <x v="4"/>
  </r>
  <r>
    <d v="2020-05-10T00:00:00"/>
    <x v="3"/>
    <n v="36619.5"/>
    <n v="3312967.5"/>
    <n v="21"/>
    <n v="2016"/>
    <n v="1846"/>
    <n v="121319213366.25"/>
    <x v="5"/>
  </r>
  <r>
    <d v="2020-05-11T00:00:00"/>
    <x v="3"/>
    <n v="27187.5"/>
    <n v="2479396.5"/>
    <n v="21"/>
    <n v="1597"/>
    <n v="1457"/>
    <n v="67408592343.75"/>
    <x v="6"/>
  </r>
  <r>
    <d v="2020-05-12T00:00:00"/>
    <x v="3"/>
    <n v="28219.5"/>
    <n v="2595778.5"/>
    <n v="21"/>
    <n v="1656"/>
    <n v="1516"/>
    <n v="73251571380.75"/>
    <x v="0"/>
  </r>
  <r>
    <d v="2020-05-13T00:00:00"/>
    <x v="3"/>
    <n v="29241"/>
    <n v="2629782"/>
    <n v="21"/>
    <n v="1698"/>
    <n v="1554"/>
    <n v="76897455462"/>
    <x v="1"/>
  </r>
  <r>
    <d v="2020-05-14T00:00:00"/>
    <x v="3"/>
    <n v="29658"/>
    <n v="2703132"/>
    <n v="21"/>
    <n v="1706"/>
    <n v="1548"/>
    <n v="80169488856"/>
    <x v="2"/>
  </r>
  <r>
    <d v="2020-05-15T00:00:00"/>
    <x v="3"/>
    <n v="34150.5"/>
    <n v="3038293.5"/>
    <n v="21"/>
    <n v="1926"/>
    <n v="1742"/>
    <n v="103759242171.75"/>
    <x v="3"/>
  </r>
  <r>
    <d v="2020-05-16T00:00:00"/>
    <x v="3"/>
    <n v="38947.5"/>
    <n v="3395892"/>
    <n v="21"/>
    <n v="2145"/>
    <n v="1947"/>
    <n v="132261503670"/>
    <x v="4"/>
  </r>
  <r>
    <d v="2020-05-17T00:00:00"/>
    <x v="3"/>
    <n v="32023.5"/>
    <n v="2882458.5"/>
    <n v="21"/>
    <n v="1874"/>
    <n v="1705"/>
    <n v="92306409774.75"/>
    <x v="5"/>
  </r>
  <r>
    <d v="2020-05-18T00:00:00"/>
    <x v="3"/>
    <n v="31329"/>
    <n v="2826379.5"/>
    <n v="21"/>
    <n v="1834"/>
    <n v="1660"/>
    <n v="88547643355.5"/>
    <x v="6"/>
  </r>
  <r>
    <d v="2020-05-19T00:00:00"/>
    <x v="3"/>
    <n v="31842"/>
    <n v="2771116.5"/>
    <n v="21"/>
    <n v="1860"/>
    <n v="1704"/>
    <n v="88237891593"/>
    <x v="0"/>
  </r>
  <r>
    <d v="2020-05-20T00:00:00"/>
    <x v="3"/>
    <n v="34077"/>
    <n v="2929330.5"/>
    <n v="21"/>
    <n v="1921"/>
    <n v="1767"/>
    <n v="99822795448.5"/>
    <x v="1"/>
  </r>
  <r>
    <d v="2020-05-21T00:00:00"/>
    <x v="3"/>
    <n v="31272"/>
    <n v="2744382"/>
    <n v="21"/>
    <n v="1787"/>
    <n v="1626"/>
    <n v="85822313904"/>
    <x v="2"/>
  </r>
  <r>
    <d v="2020-05-22T00:00:00"/>
    <x v="3"/>
    <n v="36031.5"/>
    <n v="3091069.5"/>
    <n v="21"/>
    <n v="2046"/>
    <n v="1853"/>
    <n v="111375870689.25"/>
    <x v="3"/>
  </r>
  <r>
    <d v="2020-05-23T00:00:00"/>
    <x v="3"/>
    <n v="42703.5"/>
    <n v="3628726.5"/>
    <n v="21"/>
    <n v="2340"/>
    <n v="2146"/>
    <n v="154959322092.75"/>
    <x v="4"/>
  </r>
  <r>
    <d v="2020-05-24T00:00:00"/>
    <x v="3"/>
    <n v="34303.5"/>
    <n v="2924746.5"/>
    <n v="20"/>
    <n v="1999"/>
    <n v="1829"/>
    <n v="100329041562.75"/>
    <x v="5"/>
  </r>
  <r>
    <d v="2020-05-25T00:00:00"/>
    <x v="3"/>
    <n v="35592"/>
    <n v="3176580"/>
    <n v="20"/>
    <n v="2087"/>
    <n v="1914"/>
    <n v="113060835360"/>
    <x v="6"/>
  </r>
  <r>
    <d v="2020-05-26T00:00:00"/>
    <x v="3"/>
    <n v="33423"/>
    <n v="2970330"/>
    <n v="20"/>
    <n v="2044"/>
    <n v="1863"/>
    <n v="99277339590"/>
    <x v="0"/>
  </r>
  <r>
    <d v="2020-05-27T00:00:00"/>
    <x v="3"/>
    <n v="32817"/>
    <n v="3015751.5"/>
    <n v="20"/>
    <n v="2079"/>
    <n v="1893"/>
    <n v="98967916975.5"/>
    <x v="1"/>
  </r>
  <r>
    <d v="2020-05-28T00:00:00"/>
    <x v="3"/>
    <n v="30982.5"/>
    <n v="2827773"/>
    <n v="20"/>
    <n v="1886"/>
    <n v="1736"/>
    <n v="87611476972.5"/>
    <x v="2"/>
  </r>
  <r>
    <d v="2020-05-29T00:00:00"/>
    <x v="3"/>
    <n v="35431.5"/>
    <n v="3193167"/>
    <n v="20"/>
    <n v="2111"/>
    <n v="1917"/>
    <n v="113138696560.5"/>
    <x v="3"/>
  </r>
  <r>
    <d v="2020-05-30T00:00:00"/>
    <x v="3"/>
    <n v="44001"/>
    <n v="3921784.5"/>
    <n v="20"/>
    <n v="2597"/>
    <n v="2376"/>
    <n v="172562439784.5"/>
    <x v="4"/>
  </r>
  <r>
    <d v="2020-05-31T00:00:00"/>
    <x v="3"/>
    <n v="36999"/>
    <n v="3473895"/>
    <n v="21"/>
    <n v="2271"/>
    <n v="2085"/>
    <n v="128530641105"/>
    <x v="5"/>
  </r>
  <r>
    <d v="2020-06-01T00:00:00"/>
    <x v="3"/>
    <n v="31947"/>
    <n v="2945035.5"/>
    <n v="21"/>
    <n v="2025"/>
    <n v="1849"/>
    <n v="94085049118.5"/>
    <x v="6"/>
  </r>
  <r>
    <d v="2020-04-28T00:00:00"/>
    <x v="4"/>
    <n v="25149"/>
    <n v="2277072"/>
    <n v="18"/>
    <n v="1505"/>
    <n v="1368"/>
    <n v="57266083728"/>
    <x v="0"/>
  </r>
  <r>
    <d v="2020-04-29T00:00:00"/>
    <x v="4"/>
    <n v="25816.5"/>
    <n v="2360914.5"/>
    <n v="18"/>
    <n v="1599"/>
    <n v="1450"/>
    <n v="60950549189.25"/>
    <x v="1"/>
  </r>
  <r>
    <d v="2020-04-30T00:00:00"/>
    <x v="4"/>
    <n v="27883.5"/>
    <n v="2560080"/>
    <n v="19"/>
    <n v="1662"/>
    <n v="1506"/>
    <n v="71383990680"/>
    <x v="2"/>
  </r>
  <r>
    <d v="2020-05-01T00:00:00"/>
    <x v="4"/>
    <n v="35190"/>
    <n v="3168510"/>
    <n v="19"/>
    <n v="1987"/>
    <n v="1791"/>
    <n v="111499866900"/>
    <x v="3"/>
  </r>
  <r>
    <d v="2020-05-02T00:00:00"/>
    <x v="4"/>
    <n v="18427.5"/>
    <n v="1682851.5"/>
    <n v="19"/>
    <n v="1206"/>
    <n v="1080"/>
    <n v="31010746016.25"/>
    <x v="4"/>
  </r>
  <r>
    <d v="2020-05-03T00:00:00"/>
    <x v="4"/>
    <n v="21343.5"/>
    <n v="1906557"/>
    <n v="19"/>
    <n v="1314"/>
    <n v="1192"/>
    <n v="40692599329.5"/>
    <x v="5"/>
  </r>
  <r>
    <d v="2020-05-04T00:00:00"/>
    <x v="4"/>
    <n v="23587.5"/>
    <n v="2155668"/>
    <n v="19"/>
    <n v="1479"/>
    <n v="1346"/>
    <n v="50846818950"/>
    <x v="6"/>
  </r>
  <r>
    <d v="2020-05-05T00:00:00"/>
    <x v="4"/>
    <n v="26367"/>
    <n v="2380333.5"/>
    <n v="19"/>
    <n v="1622"/>
    <n v="1482"/>
    <n v="62762253394.5"/>
    <x v="0"/>
  </r>
  <r>
    <d v="2020-05-06T00:00:00"/>
    <x v="4"/>
    <n v="24337.5"/>
    <n v="2159350.5"/>
    <n v="19"/>
    <n v="1509"/>
    <n v="1374"/>
    <n v="52553192793.75"/>
    <x v="1"/>
  </r>
  <r>
    <d v="2020-05-07T00:00:00"/>
    <x v="4"/>
    <n v="26184"/>
    <n v="2308336.5"/>
    <n v="19"/>
    <n v="1580"/>
    <n v="1435"/>
    <n v="60441482916"/>
    <x v="2"/>
  </r>
  <r>
    <d v="2020-05-08T00:00:00"/>
    <x v="4"/>
    <n v="25020"/>
    <n v="2235960"/>
    <n v="19"/>
    <n v="1520"/>
    <n v="1380"/>
    <n v="55943719200"/>
    <x v="3"/>
  </r>
  <r>
    <d v="2020-05-09T00:00:00"/>
    <x v="4"/>
    <n v="26271"/>
    <n v="2384937"/>
    <n v="19"/>
    <n v="1542"/>
    <n v="1412"/>
    <n v="62654679927"/>
    <x v="4"/>
  </r>
  <r>
    <d v="2020-05-10T00:00:00"/>
    <x v="4"/>
    <n v="31224"/>
    <n v="2767270.5"/>
    <n v="19"/>
    <n v="1836"/>
    <n v="1680"/>
    <n v="86405254092"/>
    <x v="5"/>
  </r>
  <r>
    <d v="2020-05-11T00:00:00"/>
    <x v="4"/>
    <n v="23629.5"/>
    <n v="2164365"/>
    <n v="19"/>
    <n v="1527"/>
    <n v="1389"/>
    <n v="51142862767.5"/>
    <x v="6"/>
  </r>
  <r>
    <d v="2020-05-12T00:00:00"/>
    <x v="4"/>
    <n v="25483.5"/>
    <n v="2243160"/>
    <n v="19"/>
    <n v="1598"/>
    <n v="1454"/>
    <n v="57163567860"/>
    <x v="0"/>
  </r>
  <r>
    <d v="2020-05-13T00:00:00"/>
    <x v="4"/>
    <n v="25539"/>
    <n v="2263651.5"/>
    <n v="19"/>
    <n v="1605"/>
    <n v="1447"/>
    <n v="57811395658.5"/>
    <x v="1"/>
  </r>
  <r>
    <d v="2020-05-14T00:00:00"/>
    <x v="4"/>
    <n v="25656"/>
    <n v="2225341.5"/>
    <n v="19"/>
    <n v="1635"/>
    <n v="1487"/>
    <n v="57093361524"/>
    <x v="2"/>
  </r>
  <r>
    <d v="2020-05-15T00:00:00"/>
    <x v="4"/>
    <n v="29283"/>
    <n v="2477487"/>
    <n v="19"/>
    <n v="1780"/>
    <n v="1615"/>
    <n v="72548251821"/>
    <x v="3"/>
  </r>
  <r>
    <d v="2020-05-16T00:00:00"/>
    <x v="4"/>
    <n v="34563"/>
    <n v="2922883.5"/>
    <n v="19"/>
    <n v="2039"/>
    <n v="1868"/>
    <n v="101023622410.5"/>
    <x v="4"/>
  </r>
  <r>
    <d v="2020-05-17T00:00:00"/>
    <x v="4"/>
    <n v="28275"/>
    <n v="2435632.5"/>
    <n v="19"/>
    <n v="1790"/>
    <n v="1633"/>
    <n v="68867508937.5"/>
    <x v="5"/>
  </r>
  <r>
    <d v="2020-05-18T00:00:00"/>
    <x v="4"/>
    <n v="27181.5"/>
    <n v="2324490"/>
    <n v="19"/>
    <n v="1741"/>
    <n v="1597"/>
    <n v="63183124935"/>
    <x v="6"/>
  </r>
  <r>
    <d v="2020-05-19T00:00:00"/>
    <x v="4"/>
    <n v="28882.5"/>
    <n v="2446530"/>
    <n v="19"/>
    <n v="1831"/>
    <n v="1667"/>
    <n v="70661902725"/>
    <x v="0"/>
  </r>
  <r>
    <d v="2020-05-20T00:00:00"/>
    <x v="4"/>
    <n v="28849.5"/>
    <n v="2520759"/>
    <n v="19"/>
    <n v="1823"/>
    <n v="1678"/>
    <n v="72722636770.5"/>
    <x v="1"/>
  </r>
  <r>
    <d v="2020-05-21T00:00:00"/>
    <x v="4"/>
    <n v="25362"/>
    <n v="2198935.5"/>
    <n v="19"/>
    <n v="1650"/>
    <n v="1505"/>
    <n v="55769402151"/>
    <x v="2"/>
  </r>
  <r>
    <d v="2020-05-22T00:00:00"/>
    <x v="4"/>
    <n v="30781.5"/>
    <n v="2540715"/>
    <n v="19"/>
    <n v="1859"/>
    <n v="1697"/>
    <n v="78207018772.5"/>
    <x v="3"/>
  </r>
  <r>
    <d v="2020-05-23T00:00:00"/>
    <x v="4"/>
    <n v="36997.5"/>
    <n v="3089140.5"/>
    <n v="19"/>
    <n v="2195"/>
    <n v="1999"/>
    <n v="114290475648.75"/>
    <x v="4"/>
  </r>
  <r>
    <d v="2020-05-24T00:00:00"/>
    <x v="4"/>
    <n v="29824.5"/>
    <n v="2526909"/>
    <n v="19"/>
    <n v="1868"/>
    <n v="1706"/>
    <n v="75363797470.5"/>
    <x v="5"/>
  </r>
  <r>
    <d v="2020-05-25T00:00:00"/>
    <x v="4"/>
    <n v="28494"/>
    <n v="2512803"/>
    <n v="20"/>
    <n v="1899"/>
    <n v="1738"/>
    <n v="71599808682"/>
    <x v="6"/>
  </r>
  <r>
    <d v="2020-05-26T00:00:00"/>
    <x v="4"/>
    <n v="27156"/>
    <n v="2410803"/>
    <n v="20"/>
    <n v="1814"/>
    <n v="1655"/>
    <n v="65467766268"/>
    <x v="0"/>
  </r>
  <r>
    <d v="2020-05-27T00:00:00"/>
    <x v="4"/>
    <n v="28050"/>
    <n v="2458555.5"/>
    <n v="20"/>
    <n v="1873"/>
    <n v="1715"/>
    <n v="68962481775"/>
    <x v="1"/>
  </r>
  <r>
    <d v="2020-05-28T00:00:00"/>
    <x v="4"/>
    <n v="28197"/>
    <n v="2559211.5"/>
    <n v="20"/>
    <n v="1875"/>
    <n v="1701"/>
    <n v="72162086665.5"/>
    <x v="2"/>
  </r>
  <r>
    <d v="2020-05-29T00:00:00"/>
    <x v="4"/>
    <n v="32782.5"/>
    <n v="2854741.5"/>
    <n v="20"/>
    <n v="2064"/>
    <n v="1896"/>
    <n v="93585563223.75"/>
    <x v="3"/>
  </r>
  <r>
    <d v="2020-05-30T00:00:00"/>
    <x v="4"/>
    <n v="34681.5"/>
    <n v="3005334"/>
    <n v="20"/>
    <n v="2174"/>
    <n v="1957"/>
    <n v="104229491121"/>
    <x v="4"/>
  </r>
  <r>
    <d v="2020-05-31T00:00:00"/>
    <x v="4"/>
    <n v="31372.5"/>
    <n v="2794324.5"/>
    <n v="21"/>
    <n v="2056"/>
    <n v="1879"/>
    <n v="87664945376.25"/>
    <x v="5"/>
  </r>
  <r>
    <d v="2020-06-01T00:00:00"/>
    <x v="4"/>
    <n v="27960"/>
    <n v="2538967.5"/>
    <n v="21"/>
    <n v="1879"/>
    <n v="1720"/>
    <n v="70989531300"/>
    <x v="6"/>
  </r>
  <r>
    <d v="2020-04-28T00:00:00"/>
    <x v="5"/>
    <n v="195705"/>
    <n v="20003263.5"/>
    <n v="54"/>
    <n v="12306"/>
    <n v="11532"/>
    <n v="3914738683267.5"/>
    <x v="0"/>
  </r>
  <r>
    <d v="2020-04-29T00:00:00"/>
    <x v="5"/>
    <n v="203209.5"/>
    <n v="20871391.5"/>
    <n v="54"/>
    <n v="12747"/>
    <n v="11884"/>
    <n v="4241265031019.25"/>
    <x v="1"/>
  </r>
  <r>
    <d v="2020-04-30T00:00:00"/>
    <x v="5"/>
    <n v="206038.5"/>
    <n v="21740460"/>
    <n v="54"/>
    <n v="12817"/>
    <n v="11865"/>
    <n v="4479371767710"/>
    <x v="2"/>
  </r>
  <r>
    <d v="2020-05-01T00:00:00"/>
    <x v="5"/>
    <n v="226540.5"/>
    <n v="23953536"/>
    <n v="54"/>
    <n v="14205"/>
    <n v="13026"/>
    <n v="5426446022208"/>
    <x v="3"/>
  </r>
  <r>
    <d v="2020-05-02T00:00:00"/>
    <x v="5"/>
    <n v="176397"/>
    <n v="18625921.5"/>
    <n v="54"/>
    <n v="11622"/>
    <n v="10754"/>
    <n v="3285556674835.5"/>
    <x v="4"/>
  </r>
  <r>
    <d v="2020-05-03T00:00:00"/>
    <x v="5"/>
    <n v="248148"/>
    <n v="25519072.5"/>
    <n v="54"/>
    <n v="14823"/>
    <n v="13751"/>
    <n v="6332506802730"/>
    <x v="5"/>
  </r>
  <r>
    <d v="2020-05-04T00:00:00"/>
    <x v="5"/>
    <n v="223617"/>
    <n v="22796827.5"/>
    <n v="54"/>
    <n v="13606"/>
    <n v="12697"/>
    <n v="5097758175067.5"/>
    <x v="6"/>
  </r>
  <r>
    <d v="2020-05-05T00:00:00"/>
    <x v="5"/>
    <n v="203832"/>
    <n v="20880142.5"/>
    <n v="54"/>
    <n v="12775"/>
    <n v="11887"/>
    <n v="4256041206060"/>
    <x v="0"/>
  </r>
  <r>
    <d v="2020-05-06T00:00:00"/>
    <x v="5"/>
    <n v="216498"/>
    <n v="22126444.5"/>
    <n v="54"/>
    <n v="13406"/>
    <n v="12518"/>
    <n v="4790330981361"/>
    <x v="1"/>
  </r>
  <r>
    <d v="2020-05-07T00:00:00"/>
    <x v="5"/>
    <n v="209415"/>
    <n v="21463023"/>
    <n v="54"/>
    <n v="12743"/>
    <n v="11858"/>
    <n v="4494678961545"/>
    <x v="2"/>
  </r>
  <r>
    <d v="2020-05-08T00:00:00"/>
    <x v="5"/>
    <n v="225076.5"/>
    <n v="22846078.5"/>
    <n v="54"/>
    <n v="13563"/>
    <n v="12604"/>
    <n v="5142115387505.25"/>
    <x v="3"/>
  </r>
  <r>
    <d v="2020-05-09T00:00:00"/>
    <x v="5"/>
    <n v="177976.5"/>
    <n v="18085798.5"/>
    <n v="54"/>
    <n v="11288"/>
    <n v="10492"/>
    <n v="3218847116735.25"/>
    <x v="4"/>
  </r>
  <r>
    <d v="2020-05-10T00:00:00"/>
    <x v="5"/>
    <n v="231559.5"/>
    <n v="23443725"/>
    <n v="54"/>
    <n v="13832"/>
    <n v="12864"/>
    <n v="5428617239137.5"/>
    <x v="5"/>
  </r>
  <r>
    <d v="2020-05-11T00:00:00"/>
    <x v="5"/>
    <n v="166948.5"/>
    <n v="16971231"/>
    <n v="54"/>
    <n v="10570"/>
    <n v="9926"/>
    <n v="2833321558603.5"/>
    <x v="6"/>
  </r>
  <r>
    <d v="2020-05-12T00:00:00"/>
    <x v="5"/>
    <n v="189679.5"/>
    <n v="18718036.5"/>
    <n v="54"/>
    <n v="11614"/>
    <n v="10862"/>
    <n v="3550427804301.75"/>
    <x v="0"/>
  </r>
  <r>
    <d v="2020-05-13T00:00:00"/>
    <x v="5"/>
    <n v="188662.5"/>
    <n v="18784000.5"/>
    <n v="54"/>
    <n v="11522"/>
    <n v="10803"/>
    <n v="3543836494331.25"/>
    <x v="1"/>
  </r>
  <r>
    <d v="2020-05-14T00:00:00"/>
    <x v="5"/>
    <n v="186496.5"/>
    <n v="18640998"/>
    <n v="54"/>
    <n v="11194"/>
    <n v="10554"/>
    <n v="3476480883507"/>
    <x v="2"/>
  </r>
  <r>
    <d v="2020-05-15T00:00:00"/>
    <x v="5"/>
    <n v="219772.5"/>
    <n v="21895294.5"/>
    <n v="54"/>
    <n v="12791"/>
    <n v="11950"/>
    <n v="4811983610501.25"/>
    <x v="3"/>
  </r>
  <r>
    <d v="2020-05-16T00:00:00"/>
    <x v="5"/>
    <n v="225480"/>
    <n v="22355338.5"/>
    <n v="54"/>
    <n v="13170"/>
    <n v="12299"/>
    <n v="5040681724980"/>
    <x v="4"/>
  </r>
  <r>
    <d v="2020-05-17T00:00:00"/>
    <x v="5"/>
    <n v="184801.5"/>
    <n v="18449091"/>
    <n v="54"/>
    <n v="11128"/>
    <n v="10467"/>
    <n v="3409419690436.5"/>
    <x v="5"/>
  </r>
  <r>
    <d v="2020-05-18T00:00:00"/>
    <x v="5"/>
    <n v="196560"/>
    <n v="19855122"/>
    <n v="54"/>
    <n v="12012"/>
    <n v="11308"/>
    <n v="3902722780320"/>
    <x v="6"/>
  </r>
  <r>
    <d v="2020-05-19T00:00:00"/>
    <x v="5"/>
    <n v="211453.5"/>
    <n v="20590072.5"/>
    <n v="54"/>
    <n v="13070"/>
    <n v="12244"/>
    <n v="4353842895378.75"/>
    <x v="0"/>
  </r>
  <r>
    <d v="2020-05-20T00:00:00"/>
    <x v="5"/>
    <n v="214885.5"/>
    <n v="21411349.5"/>
    <n v="54"/>
    <n v="13298"/>
    <n v="12428"/>
    <n v="4600988542982.25"/>
    <x v="1"/>
  </r>
  <r>
    <d v="2020-05-21T00:00:00"/>
    <x v="5"/>
    <n v="213640.5"/>
    <n v="21042673.5"/>
    <n v="54"/>
    <n v="13240"/>
    <n v="12360"/>
    <n v="4495567287876.75"/>
    <x v="2"/>
  </r>
  <r>
    <d v="2020-05-22T00:00:00"/>
    <x v="5"/>
    <n v="214428"/>
    <n v="20812585.5"/>
    <n v="54"/>
    <n v="13014"/>
    <n v="12095"/>
    <n v="4462801083594"/>
    <x v="3"/>
  </r>
  <r>
    <d v="2020-05-23T00:00:00"/>
    <x v="5"/>
    <n v="275793"/>
    <n v="26806626"/>
    <n v="54"/>
    <n v="16221"/>
    <n v="15065"/>
    <n v="7393079804418"/>
    <x v="4"/>
  </r>
  <r>
    <d v="2020-05-24T00:00:00"/>
    <x v="5"/>
    <n v="193719"/>
    <n v="19071117"/>
    <n v="54"/>
    <n v="12211"/>
    <n v="11427"/>
    <n v="3694437714123"/>
    <x v="5"/>
  </r>
  <r>
    <d v="2020-05-25T00:00:00"/>
    <x v="5"/>
    <n v="192948"/>
    <n v="19806927"/>
    <n v="54"/>
    <n v="12336"/>
    <n v="11519"/>
    <n v="3821706950796"/>
    <x v="6"/>
  </r>
  <r>
    <d v="2020-05-26T00:00:00"/>
    <x v="5"/>
    <n v="232369.5"/>
    <n v="23856345"/>
    <n v="54"/>
    <n v="14482"/>
    <n v="13510"/>
    <n v="5543486959477.5"/>
    <x v="0"/>
  </r>
  <r>
    <d v="2020-05-27T00:00:00"/>
    <x v="5"/>
    <n v="203532"/>
    <n v="20953324.5"/>
    <n v="54"/>
    <n v="13091"/>
    <n v="12216"/>
    <n v="4264672042134"/>
    <x v="1"/>
  </r>
  <r>
    <d v="2020-05-28T00:00:00"/>
    <x v="5"/>
    <n v="191641.5"/>
    <n v="19549036.5"/>
    <n v="54"/>
    <n v="12409"/>
    <n v="11582"/>
    <n v="3746406678414.75"/>
    <x v="2"/>
  </r>
  <r>
    <d v="2020-05-29T00:00:00"/>
    <x v="5"/>
    <n v="226476"/>
    <n v="22416151.5"/>
    <n v="54"/>
    <n v="14031"/>
    <n v="12943"/>
    <n v="5076720327114"/>
    <x v="3"/>
  </r>
  <r>
    <d v="2020-05-30T00:00:00"/>
    <x v="5"/>
    <n v="244734"/>
    <n v="24151980"/>
    <n v="54"/>
    <n v="14590"/>
    <n v="13551"/>
    <n v="5910810673320"/>
    <x v="4"/>
  </r>
  <r>
    <d v="2020-05-31T00:00:00"/>
    <x v="5"/>
    <n v="206758.5"/>
    <n v="20717248.5"/>
    <n v="54"/>
    <n v="13106"/>
    <n v="12164"/>
    <n v="4283467223987.25"/>
    <x v="5"/>
  </r>
  <r>
    <d v="2020-06-01T00:00:00"/>
    <x v="5"/>
    <n v="183228"/>
    <n v="18914194.5"/>
    <n v="54"/>
    <n v="11864"/>
    <n v="11071"/>
    <n v="3465610029846"/>
    <x v="6"/>
  </r>
  <r>
    <d v="2020-04-28T00:00:00"/>
    <x v="6"/>
    <n v="204637.5"/>
    <n v="21114898.5"/>
    <n v="59"/>
    <n v="12943"/>
    <n v="12072"/>
    <n v="4320900041793.75"/>
    <x v="0"/>
  </r>
  <r>
    <d v="2020-04-29T00:00:00"/>
    <x v="6"/>
    <n v="208351.5"/>
    <n v="21615333"/>
    <n v="59"/>
    <n v="13186"/>
    <n v="12251"/>
    <n v="4503587053549.5"/>
    <x v="1"/>
  </r>
  <r>
    <d v="2020-04-30T00:00:00"/>
    <x v="6"/>
    <n v="214386"/>
    <n v="22530000"/>
    <n v="59"/>
    <n v="13251"/>
    <n v="12255"/>
    <n v="4830116580000"/>
    <x v="2"/>
  </r>
  <r>
    <d v="2020-05-01T00:00:00"/>
    <x v="6"/>
    <n v="239409"/>
    <n v="25413351"/>
    <n v="59"/>
    <n v="15222"/>
    <n v="13873"/>
    <n v="6084184949559"/>
    <x v="3"/>
  </r>
  <r>
    <d v="2020-05-02T00:00:00"/>
    <x v="6"/>
    <n v="185979"/>
    <n v="19625364"/>
    <n v="59"/>
    <n v="12429"/>
    <n v="11477"/>
    <n v="3649905571356"/>
    <x v="4"/>
  </r>
  <r>
    <d v="2020-05-03T00:00:00"/>
    <x v="6"/>
    <n v="257215.5"/>
    <n v="26492278.5"/>
    <n v="59"/>
    <n v="15277"/>
    <n v="14163"/>
    <n v="6814224660516.75"/>
    <x v="5"/>
  </r>
  <r>
    <d v="2020-05-04T00:00:00"/>
    <x v="6"/>
    <n v="237544.5"/>
    <n v="24292218"/>
    <n v="59"/>
    <n v="14423"/>
    <n v="13432"/>
    <n v="5770482778701"/>
    <x v="6"/>
  </r>
  <r>
    <d v="2020-05-05T00:00:00"/>
    <x v="6"/>
    <n v="213582"/>
    <n v="21919435.5"/>
    <n v="59"/>
    <n v="13469"/>
    <n v="12486"/>
    <n v="4681596872961"/>
    <x v="0"/>
  </r>
  <r>
    <d v="2020-05-06T00:00:00"/>
    <x v="6"/>
    <n v="224779.5"/>
    <n v="23032992"/>
    <n v="59"/>
    <n v="14103"/>
    <n v="13118"/>
    <n v="5177344425264"/>
    <x v="1"/>
  </r>
  <r>
    <d v="2020-05-07T00:00:00"/>
    <x v="6"/>
    <n v="219411"/>
    <n v="22460130"/>
    <n v="59"/>
    <n v="13495"/>
    <n v="12517"/>
    <n v="4927999583430"/>
    <x v="2"/>
  </r>
  <r>
    <d v="2020-05-08T00:00:00"/>
    <x v="6"/>
    <n v="232701"/>
    <n v="23881948.5"/>
    <n v="59"/>
    <n v="14098"/>
    <n v="13106"/>
    <n v="5557353297898.5"/>
    <x v="3"/>
  </r>
  <r>
    <d v="2020-05-09T00:00:00"/>
    <x v="6"/>
    <n v="188319"/>
    <n v="19218631.5"/>
    <n v="59"/>
    <n v="12016"/>
    <n v="11137"/>
    <n v="3619233465448.5"/>
    <x v="4"/>
  </r>
  <r>
    <d v="2020-05-10T00:00:00"/>
    <x v="6"/>
    <n v="243825"/>
    <n v="24890404.5"/>
    <n v="59"/>
    <n v="14569"/>
    <n v="13566"/>
    <n v="6068902877212.5"/>
    <x v="5"/>
  </r>
  <r>
    <d v="2020-05-11T00:00:00"/>
    <x v="6"/>
    <n v="175293"/>
    <n v="17919144"/>
    <n v="60"/>
    <n v="11100"/>
    <n v="10407"/>
    <n v="3141100509192"/>
    <x v="6"/>
  </r>
  <r>
    <d v="2020-05-12T00:00:00"/>
    <x v="6"/>
    <n v="192886.5"/>
    <n v="19205179.5"/>
    <n v="60"/>
    <n v="12000"/>
    <n v="11194"/>
    <n v="3704419855626.75"/>
    <x v="0"/>
  </r>
  <r>
    <d v="2020-05-13T00:00:00"/>
    <x v="6"/>
    <n v="193722"/>
    <n v="19437273"/>
    <n v="60"/>
    <n v="12007"/>
    <n v="11245"/>
    <n v="3765427400106"/>
    <x v="1"/>
  </r>
  <r>
    <d v="2020-05-14T00:00:00"/>
    <x v="6"/>
    <n v="197946"/>
    <n v="19942435.5"/>
    <n v="60"/>
    <n v="11935"/>
    <n v="11178"/>
    <n v="3947525337483"/>
    <x v="2"/>
  </r>
  <r>
    <d v="2020-05-15T00:00:00"/>
    <x v="6"/>
    <n v="230896.5"/>
    <n v="23085222"/>
    <n v="60"/>
    <n v="13544"/>
    <n v="12643"/>
    <n v="5330296961523"/>
    <x v="3"/>
  </r>
  <r>
    <d v="2020-05-16T00:00:00"/>
    <x v="6"/>
    <n v="236551.5"/>
    <n v="23689383"/>
    <n v="60"/>
    <n v="14049"/>
    <n v="13118"/>
    <n v="5603759082724.5"/>
    <x v="4"/>
  </r>
  <r>
    <d v="2020-05-17T00:00:00"/>
    <x v="6"/>
    <n v="193363.5"/>
    <n v="19546386"/>
    <n v="60"/>
    <n v="11698"/>
    <n v="10989"/>
    <n v="3779557609311"/>
    <x v="5"/>
  </r>
  <r>
    <d v="2020-05-18T00:00:00"/>
    <x v="6"/>
    <n v="201999"/>
    <n v="20422435.5"/>
    <n v="60"/>
    <n v="12460"/>
    <n v="11665"/>
    <n v="4125311548564.5"/>
    <x v="6"/>
  </r>
  <r>
    <d v="2020-05-19T00:00:00"/>
    <x v="6"/>
    <n v="223597.5"/>
    <n v="21945858"/>
    <n v="60"/>
    <n v="13867"/>
    <n v="12987"/>
    <n v="4907038984155"/>
    <x v="0"/>
  </r>
  <r>
    <d v="2020-05-20T00:00:00"/>
    <x v="6"/>
    <n v="219622.5"/>
    <n v="21959286"/>
    <n v="60"/>
    <n v="13792"/>
    <n v="12834"/>
    <n v="4822753289535"/>
    <x v="1"/>
  </r>
  <r>
    <d v="2020-05-21T00:00:00"/>
    <x v="6"/>
    <n v="224233.5"/>
    <n v="22253295"/>
    <n v="60"/>
    <n v="14005"/>
    <n v="13002"/>
    <n v="4989934224382.5"/>
    <x v="2"/>
  </r>
  <r>
    <d v="2020-05-22T00:00:00"/>
    <x v="6"/>
    <n v="228334.5"/>
    <n v="22380772.5"/>
    <n v="60"/>
    <n v="14050"/>
    <n v="13027"/>
    <n v="5110302498401.25"/>
    <x v="3"/>
  </r>
  <r>
    <d v="2020-05-23T00:00:00"/>
    <x v="6"/>
    <n v="292018.5"/>
    <n v="28590910.5"/>
    <n v="60"/>
    <n v="17295"/>
    <n v="16010"/>
    <n v="8349074797844.25"/>
    <x v="4"/>
  </r>
  <r>
    <d v="2020-05-24T00:00:00"/>
    <x v="6"/>
    <n v="200029.5"/>
    <n v="19959801"/>
    <n v="60"/>
    <n v="12822"/>
    <n v="11916"/>
    <n v="3992549014129.5"/>
    <x v="5"/>
  </r>
  <r>
    <d v="2020-05-25T00:00:00"/>
    <x v="6"/>
    <n v="198751.5"/>
    <n v="20582743.5"/>
    <n v="59"/>
    <n v="12983"/>
    <n v="12056"/>
    <n v="4090851144740.25"/>
    <x v="6"/>
  </r>
  <r>
    <d v="2020-05-26T00:00:00"/>
    <x v="6"/>
    <n v="244905"/>
    <n v="25163431.5"/>
    <n v="59"/>
    <n v="15369"/>
    <n v="14299"/>
    <n v="6162650191507.5"/>
    <x v="0"/>
  </r>
  <r>
    <d v="2020-05-27T00:00:00"/>
    <x v="6"/>
    <n v="215592"/>
    <n v="22342300.5"/>
    <n v="59"/>
    <n v="13942"/>
    <n v="12986"/>
    <n v="4816821249396"/>
    <x v="1"/>
  </r>
  <r>
    <d v="2020-05-28T00:00:00"/>
    <x v="6"/>
    <n v="199753.5"/>
    <n v="20535733.5"/>
    <n v="60"/>
    <n v="12854"/>
    <n v="11954"/>
    <n v="4102084641692.25"/>
    <x v="2"/>
  </r>
  <r>
    <d v="2020-05-29T00:00:00"/>
    <x v="6"/>
    <n v="232102.5"/>
    <n v="23120443.5"/>
    <n v="59"/>
    <n v="14507"/>
    <n v="13386"/>
    <n v="5366312737458.75"/>
    <x v="3"/>
  </r>
  <r>
    <d v="2020-05-30T00:00:00"/>
    <x v="6"/>
    <n v="246414"/>
    <n v="24527245.5"/>
    <n v="59"/>
    <n v="15030"/>
    <n v="13956"/>
    <n v="6043856672637"/>
    <x v="4"/>
  </r>
  <r>
    <d v="2020-05-31T00:00:00"/>
    <x v="6"/>
    <n v="215277"/>
    <n v="21585316.5"/>
    <n v="59"/>
    <n v="13684"/>
    <n v="12690"/>
    <n v="4646822180170.5"/>
    <x v="5"/>
  </r>
  <r>
    <d v="2020-06-01T00:00:00"/>
    <x v="6"/>
    <n v="188776.5"/>
    <n v="19465372.5"/>
    <n v="59"/>
    <n v="12299"/>
    <n v="11448"/>
    <n v="3674604891746.25"/>
    <x v="6"/>
  </r>
  <r>
    <d v="2020-04-28T00:00:00"/>
    <x v="7"/>
    <n v="23314.5"/>
    <n v="2136817.5"/>
    <n v="17"/>
    <n v="1439"/>
    <n v="1265"/>
    <n v="49818831603.75"/>
    <x v="0"/>
  </r>
  <r>
    <d v="2020-04-29T00:00:00"/>
    <x v="7"/>
    <n v="25917"/>
    <n v="2397588"/>
    <n v="18"/>
    <n v="1534"/>
    <n v="1369"/>
    <n v="62138288196"/>
    <x v="1"/>
  </r>
  <r>
    <d v="2020-04-30T00:00:00"/>
    <x v="7"/>
    <n v="24211.5"/>
    <n v="2267664"/>
    <n v="19"/>
    <n v="1499"/>
    <n v="1322"/>
    <n v="54903546936"/>
    <x v="2"/>
  </r>
  <r>
    <d v="2020-05-01T00:00:00"/>
    <x v="7"/>
    <n v="25792.5"/>
    <n v="2374356"/>
    <n v="19"/>
    <n v="1497"/>
    <n v="1291"/>
    <n v="61240577130"/>
    <x v="3"/>
  </r>
  <r>
    <d v="2020-05-02T00:00:00"/>
    <x v="7"/>
    <n v="19461"/>
    <n v="1799230.5"/>
    <n v="19"/>
    <n v="1217"/>
    <n v="1048"/>
    <n v="35014824760.5"/>
    <x v="4"/>
  </r>
  <r>
    <d v="2020-05-03T00:00:00"/>
    <x v="7"/>
    <n v="23539.5"/>
    <n v="2170309.5"/>
    <n v="19"/>
    <n v="1402"/>
    <n v="1234"/>
    <n v="51088000475.25"/>
    <x v="5"/>
  </r>
  <r>
    <d v="2020-05-04T00:00:00"/>
    <x v="7"/>
    <n v="27072"/>
    <n v="2450968.5"/>
    <n v="19"/>
    <n v="1582"/>
    <n v="1403"/>
    <n v="66352619232"/>
    <x v="6"/>
  </r>
  <r>
    <d v="2020-05-05T00:00:00"/>
    <x v="7"/>
    <n v="22848"/>
    <n v="2079900"/>
    <n v="19"/>
    <n v="1417"/>
    <n v="1245"/>
    <n v="47521555200"/>
    <x v="0"/>
  </r>
  <r>
    <d v="2020-05-06T00:00:00"/>
    <x v="7"/>
    <n v="24678"/>
    <n v="2232519"/>
    <n v="19"/>
    <n v="1499"/>
    <n v="1323"/>
    <n v="55094103882"/>
    <x v="1"/>
  </r>
  <r>
    <d v="2020-05-07T00:00:00"/>
    <x v="7"/>
    <n v="25468.5"/>
    <n v="2350672.5"/>
    <n v="19"/>
    <n v="1530"/>
    <n v="1338"/>
    <n v="59868102566.25"/>
    <x v="2"/>
  </r>
  <r>
    <d v="2020-05-08T00:00:00"/>
    <x v="7"/>
    <n v="25294.5"/>
    <n v="2271454.5"/>
    <n v="19"/>
    <n v="1522"/>
    <n v="1340"/>
    <n v="57455305850.25"/>
    <x v="3"/>
  </r>
  <r>
    <d v="2020-05-09T00:00:00"/>
    <x v="7"/>
    <n v="32079"/>
    <n v="2902167"/>
    <n v="19"/>
    <n v="1851"/>
    <n v="1635"/>
    <n v="93098615193"/>
    <x v="4"/>
  </r>
  <r>
    <d v="2020-05-10T00:00:00"/>
    <x v="7"/>
    <n v="31399.5"/>
    <n v="2862298.5"/>
    <n v="19"/>
    <n v="1848"/>
    <n v="1649"/>
    <n v="89874741750.75"/>
    <x v="5"/>
  </r>
  <r>
    <d v="2020-05-11T00:00:00"/>
    <x v="7"/>
    <n v="42397.5"/>
    <n v="3911979"/>
    <n v="19"/>
    <n v="2530"/>
    <n v="2270"/>
    <n v="165858129652.5"/>
    <x v="6"/>
  </r>
  <r>
    <d v="2020-05-12T00:00:00"/>
    <x v="7"/>
    <n v="26032.5"/>
    <n v="2370432"/>
    <n v="19"/>
    <n v="1649"/>
    <n v="1460"/>
    <n v="61708271040"/>
    <x v="0"/>
  </r>
  <r>
    <d v="2020-05-13T00:00:00"/>
    <x v="7"/>
    <n v="26464.5"/>
    <n v="2373337.5"/>
    <n v="19"/>
    <n v="1625"/>
    <n v="1444"/>
    <n v="62809190268.75"/>
    <x v="1"/>
  </r>
  <r>
    <d v="2020-05-14T00:00:00"/>
    <x v="7"/>
    <n v="27411"/>
    <n v="2441520"/>
    <n v="19"/>
    <n v="1675"/>
    <n v="1475"/>
    <n v="66924504720"/>
    <x v="2"/>
  </r>
  <r>
    <d v="2020-05-15T00:00:00"/>
    <x v="7"/>
    <n v="32854.5"/>
    <n v="2949078"/>
    <n v="19"/>
    <n v="1940"/>
    <n v="1715"/>
    <n v="96890483151"/>
    <x v="3"/>
  </r>
  <r>
    <d v="2020-05-16T00:00:00"/>
    <x v="7"/>
    <n v="35482.5"/>
    <n v="3222517.5"/>
    <n v="19"/>
    <n v="2080"/>
    <n v="1844"/>
    <n v="114342977193.75"/>
    <x v="4"/>
  </r>
  <r>
    <d v="2020-05-17T00:00:00"/>
    <x v="7"/>
    <n v="30486"/>
    <n v="2694289.5"/>
    <n v="19"/>
    <n v="1871"/>
    <n v="1660"/>
    <n v="82138109697"/>
    <x v="5"/>
  </r>
  <r>
    <d v="2020-05-18T00:00:00"/>
    <x v="7"/>
    <n v="28668"/>
    <n v="2588148"/>
    <n v="19"/>
    <n v="1858"/>
    <n v="1648"/>
    <n v="74197026864"/>
    <x v="6"/>
  </r>
  <r>
    <d v="2020-05-19T00:00:00"/>
    <x v="7"/>
    <n v="32434.5"/>
    <n v="2865337.5"/>
    <n v="19"/>
    <n v="1999"/>
    <n v="1799"/>
    <n v="92935789143.75"/>
    <x v="0"/>
  </r>
  <r>
    <d v="2020-05-20T00:00:00"/>
    <x v="7"/>
    <n v="29955"/>
    <n v="2692230"/>
    <n v="19"/>
    <n v="1889"/>
    <n v="1690"/>
    <n v="80645749650"/>
    <x v="1"/>
  </r>
  <r>
    <d v="2020-05-21T00:00:00"/>
    <x v="7"/>
    <n v="31707"/>
    <n v="2853181.5"/>
    <n v="19"/>
    <n v="1949"/>
    <n v="1724"/>
    <n v="90465825820.5"/>
    <x v="2"/>
  </r>
  <r>
    <d v="2020-05-22T00:00:00"/>
    <x v="7"/>
    <n v="38074.5"/>
    <n v="3414180"/>
    <n v="20"/>
    <n v="2306"/>
    <n v="2054"/>
    <n v="129993196410"/>
    <x v="3"/>
  </r>
  <r>
    <d v="2020-05-23T00:00:00"/>
    <x v="7"/>
    <n v="38176.5"/>
    <n v="3385372.5"/>
    <n v="20"/>
    <n v="2266"/>
    <n v="1993"/>
    <n v="129241673246.25"/>
    <x v="4"/>
  </r>
  <r>
    <d v="2020-05-24T00:00:00"/>
    <x v="7"/>
    <n v="31854"/>
    <n v="2915533.5"/>
    <n v="20"/>
    <n v="2015"/>
    <n v="1803"/>
    <n v="92871404109"/>
    <x v="5"/>
  </r>
  <r>
    <d v="2020-05-25T00:00:00"/>
    <x v="7"/>
    <n v="30603"/>
    <n v="2865727.5"/>
    <n v="20"/>
    <n v="2011"/>
    <n v="1791"/>
    <n v="87699858682.5"/>
    <x v="6"/>
  </r>
  <r>
    <d v="2020-05-26T00:00:00"/>
    <x v="7"/>
    <n v="31407"/>
    <n v="2907411"/>
    <n v="20"/>
    <n v="2036"/>
    <n v="1790"/>
    <n v="91313057277"/>
    <x v="0"/>
  </r>
  <r>
    <d v="2020-05-27T00:00:00"/>
    <x v="7"/>
    <n v="31257"/>
    <n v="2924133"/>
    <n v="20"/>
    <n v="2079"/>
    <n v="1856"/>
    <n v="91399625181"/>
    <x v="1"/>
  </r>
  <r>
    <d v="2020-05-28T00:00:00"/>
    <x v="7"/>
    <n v="31974"/>
    <n v="3004213.5"/>
    <n v="20"/>
    <n v="2088"/>
    <n v="1848"/>
    <n v="96056722449"/>
    <x v="2"/>
  </r>
  <r>
    <d v="2020-05-29T00:00:00"/>
    <x v="7"/>
    <n v="35346"/>
    <n v="3258054"/>
    <n v="20"/>
    <n v="2249"/>
    <n v="2000"/>
    <n v="115159176684"/>
    <x v="3"/>
  </r>
  <r>
    <d v="2020-05-30T00:00:00"/>
    <x v="7"/>
    <n v="39867"/>
    <n v="3654166.5"/>
    <n v="20"/>
    <n v="2451"/>
    <n v="2178"/>
    <n v="145680655855.5"/>
    <x v="4"/>
  </r>
  <r>
    <d v="2020-05-31T00:00:00"/>
    <x v="7"/>
    <n v="32359.5"/>
    <n v="2991999"/>
    <n v="20"/>
    <n v="2060"/>
    <n v="1826"/>
    <n v="96819591640.5"/>
    <x v="5"/>
  </r>
  <r>
    <d v="2020-06-01T00:00:00"/>
    <x v="7"/>
    <n v="32170.5"/>
    <n v="3013512"/>
    <n v="20"/>
    <n v="2136"/>
    <n v="1899"/>
    <n v="96946187796"/>
    <x v="6"/>
  </r>
  <r>
    <d v="2020-04-28T00:00:00"/>
    <x v="8"/>
    <n v="12541.5"/>
    <n v="992541"/>
    <n v="15"/>
    <n v="636"/>
    <n v="547"/>
    <n v="12447952951.5"/>
    <x v="0"/>
  </r>
  <r>
    <d v="2020-04-29T00:00:00"/>
    <x v="8"/>
    <n v="12250.5"/>
    <n v="981519"/>
    <n v="15"/>
    <n v="659"/>
    <n v="575"/>
    <n v="12024098509.5"/>
    <x v="1"/>
  </r>
  <r>
    <d v="2020-04-30T00:00:00"/>
    <x v="8"/>
    <n v="11976"/>
    <n v="1004511"/>
    <n v="15"/>
    <n v="644"/>
    <n v="550"/>
    <n v="12030023736"/>
    <x v="2"/>
  </r>
  <r>
    <d v="2020-05-01T00:00:00"/>
    <x v="8"/>
    <n v="13644"/>
    <n v="1134444"/>
    <n v="15"/>
    <n v="721"/>
    <n v="625"/>
    <n v="15478353936"/>
    <x v="3"/>
  </r>
  <r>
    <d v="2020-05-02T00:00:00"/>
    <x v="8"/>
    <n v="10018.5"/>
    <n v="816859.5"/>
    <n v="15"/>
    <n v="567"/>
    <n v="493"/>
    <n v="8183706900.75"/>
    <x v="4"/>
  </r>
  <r>
    <d v="2020-05-03T00:00:00"/>
    <x v="8"/>
    <n v="10032"/>
    <n v="816150"/>
    <n v="15"/>
    <n v="585"/>
    <n v="502"/>
    <n v="8187616800"/>
    <x v="5"/>
  </r>
  <r>
    <d v="2020-05-04T00:00:00"/>
    <x v="8"/>
    <n v="11062.5"/>
    <n v="906343.5"/>
    <n v="15"/>
    <n v="622"/>
    <n v="538"/>
    <n v="10026424968.75"/>
    <x v="6"/>
  </r>
  <r>
    <d v="2020-05-05T00:00:00"/>
    <x v="8"/>
    <n v="13941"/>
    <n v="1145575.5"/>
    <n v="15"/>
    <n v="750"/>
    <n v="658"/>
    <n v="15970468045.5"/>
    <x v="0"/>
  </r>
  <r>
    <d v="2020-05-06T00:00:00"/>
    <x v="8"/>
    <n v="12468"/>
    <n v="1016566.5"/>
    <n v="15"/>
    <n v="701"/>
    <n v="611"/>
    <n v="12674551122"/>
    <x v="1"/>
  </r>
  <r>
    <d v="2020-05-07T00:00:00"/>
    <x v="8"/>
    <n v="11719.5"/>
    <n v="965880"/>
    <n v="15"/>
    <n v="676"/>
    <n v="591"/>
    <n v="11319630660"/>
    <x v="2"/>
  </r>
  <r>
    <d v="2020-05-08T00:00:00"/>
    <x v="8"/>
    <n v="12976.5"/>
    <n v="1046848.5"/>
    <n v="15"/>
    <n v="703"/>
    <n v="609"/>
    <n v="13584429560.25"/>
    <x v="3"/>
  </r>
  <r>
    <d v="2020-05-09T00:00:00"/>
    <x v="8"/>
    <n v="11745"/>
    <n v="955801.5"/>
    <n v="15"/>
    <n v="654"/>
    <n v="570"/>
    <n v="11225888617.5"/>
    <x v="4"/>
  </r>
  <r>
    <d v="2020-05-10T00:00:00"/>
    <x v="8"/>
    <n v="14566.5"/>
    <n v="1216557"/>
    <n v="15"/>
    <n v="792"/>
    <n v="695"/>
    <n v="17720977540.5"/>
    <x v="5"/>
  </r>
  <r>
    <d v="2020-05-11T00:00:00"/>
    <x v="8"/>
    <n v="10941"/>
    <n v="880356"/>
    <n v="15"/>
    <n v="654"/>
    <n v="564"/>
    <n v="9631974996"/>
    <x v="6"/>
  </r>
  <r>
    <d v="2020-05-12T00:00:00"/>
    <x v="8"/>
    <n v="13443"/>
    <n v="1092277.5"/>
    <n v="15"/>
    <n v="750"/>
    <n v="659"/>
    <n v="14683486432.5"/>
    <x v="0"/>
  </r>
  <r>
    <d v="2020-05-13T00:00:00"/>
    <x v="8"/>
    <n v="14643"/>
    <n v="1172691"/>
    <n v="15"/>
    <n v="854"/>
    <n v="756"/>
    <n v="17171714313"/>
    <x v="1"/>
  </r>
  <r>
    <d v="2020-05-14T00:00:00"/>
    <x v="8"/>
    <n v="13810.5"/>
    <n v="1131676.5"/>
    <n v="16"/>
    <n v="834"/>
    <n v="735"/>
    <n v="15629018303.25"/>
    <x v="2"/>
  </r>
  <r>
    <d v="2020-05-15T00:00:00"/>
    <x v="8"/>
    <n v="13752"/>
    <n v="1091040"/>
    <n v="16"/>
    <n v="817"/>
    <n v="718"/>
    <n v="15003982080"/>
    <x v="3"/>
  </r>
  <r>
    <d v="2020-05-16T00:00:00"/>
    <x v="8"/>
    <n v="16368"/>
    <n v="1316350.5"/>
    <n v="16"/>
    <n v="920"/>
    <n v="818"/>
    <n v="21546024984"/>
    <x v="4"/>
  </r>
  <r>
    <d v="2020-05-17T00:00:00"/>
    <x v="8"/>
    <n v="13440"/>
    <n v="1157529"/>
    <n v="16"/>
    <n v="859"/>
    <n v="746"/>
    <n v="15557189760"/>
    <x v="5"/>
  </r>
  <r>
    <d v="2020-05-18T00:00:00"/>
    <x v="8"/>
    <n v="14497.5"/>
    <n v="1230711"/>
    <n v="16"/>
    <n v="864"/>
    <n v="765"/>
    <n v="17842232722.5"/>
    <x v="6"/>
  </r>
  <r>
    <d v="2020-05-19T00:00:00"/>
    <x v="8"/>
    <n v="14427"/>
    <n v="1126810.5"/>
    <n v="17"/>
    <n v="857"/>
    <n v="757"/>
    <n v="16256495083.5"/>
    <x v="0"/>
  </r>
  <r>
    <d v="2020-05-20T00:00:00"/>
    <x v="8"/>
    <n v="14928"/>
    <n v="1217749.5"/>
    <n v="17"/>
    <n v="890"/>
    <n v="794"/>
    <n v="18178564536"/>
    <x v="1"/>
  </r>
  <r>
    <d v="2020-05-21T00:00:00"/>
    <x v="8"/>
    <n v="14182.5"/>
    <n v="1172574"/>
    <n v="18"/>
    <n v="888"/>
    <n v="786"/>
    <n v="16630030755"/>
    <x v="2"/>
  </r>
  <r>
    <d v="2020-05-22T00:00:00"/>
    <x v="8"/>
    <n v="17008.5"/>
    <n v="1398771"/>
    <n v="18"/>
    <n v="985"/>
    <n v="861"/>
    <n v="23790996553.5"/>
    <x v="3"/>
  </r>
  <r>
    <d v="2020-05-23T00:00:00"/>
    <x v="8"/>
    <n v="17943"/>
    <n v="1457391"/>
    <n v="18"/>
    <n v="1031"/>
    <n v="918"/>
    <n v="26149966713"/>
    <x v="4"/>
  </r>
  <r>
    <d v="2020-05-24T00:00:00"/>
    <x v="8"/>
    <n v="17197.5"/>
    <n v="1386262.5"/>
    <n v="18"/>
    <n v="1006"/>
    <n v="904"/>
    <n v="23840249343.75"/>
    <x v="5"/>
  </r>
  <r>
    <d v="2020-05-25T00:00:00"/>
    <x v="8"/>
    <n v="15807"/>
    <n v="1326705"/>
    <n v="18"/>
    <n v="989"/>
    <n v="887"/>
    <n v="20971225935"/>
    <x v="6"/>
  </r>
  <r>
    <d v="2020-05-26T00:00:00"/>
    <x v="8"/>
    <n v="14419.5"/>
    <n v="1210456.5"/>
    <n v="18"/>
    <n v="914"/>
    <n v="804"/>
    <n v="17454177501.75"/>
    <x v="0"/>
  </r>
  <r>
    <d v="2020-05-27T00:00:00"/>
    <x v="8"/>
    <n v="15276"/>
    <n v="1350199.5"/>
    <n v="18"/>
    <n v="962"/>
    <n v="859"/>
    <n v="20625647562"/>
    <x v="1"/>
  </r>
  <r>
    <d v="2020-05-28T00:00:00"/>
    <x v="8"/>
    <n v="15678"/>
    <n v="1387443"/>
    <n v="18"/>
    <n v="1020"/>
    <n v="911"/>
    <n v="21752331354"/>
    <x v="2"/>
  </r>
  <r>
    <d v="2020-05-29T00:00:00"/>
    <x v="8"/>
    <n v="16878"/>
    <n v="1438255.5"/>
    <n v="18"/>
    <n v="1014"/>
    <n v="893"/>
    <n v="24274876329"/>
    <x v="3"/>
  </r>
  <r>
    <d v="2020-05-30T00:00:00"/>
    <x v="8"/>
    <n v="20688"/>
    <n v="1773154.5"/>
    <n v="18"/>
    <n v="1216"/>
    <n v="1101"/>
    <n v="36683020296"/>
    <x v="4"/>
  </r>
  <r>
    <d v="2020-05-31T00:00:00"/>
    <x v="8"/>
    <n v="16143"/>
    <n v="1423410"/>
    <n v="18"/>
    <n v="1029"/>
    <n v="925"/>
    <n v="22978107630"/>
    <x v="5"/>
  </r>
  <r>
    <d v="2020-06-01T00:00:00"/>
    <x v="8"/>
    <n v="14238"/>
    <n v="1293219"/>
    <n v="18"/>
    <n v="923"/>
    <n v="824"/>
    <n v="18412852122"/>
    <x v="6"/>
  </r>
  <r>
    <d v="2020-04-28T00:00:00"/>
    <x v="9"/>
    <n v="13303.5"/>
    <n v="1102887"/>
    <n v="15"/>
    <n v="780"/>
    <n v="690"/>
    <n v="14672257204.5"/>
    <x v="0"/>
  </r>
  <r>
    <d v="2020-04-29T00:00:00"/>
    <x v="9"/>
    <n v="13014"/>
    <n v="1115992.5"/>
    <n v="15"/>
    <n v="786"/>
    <n v="695"/>
    <n v="14523526395"/>
    <x v="1"/>
  </r>
  <r>
    <d v="2020-04-30T00:00:00"/>
    <x v="9"/>
    <n v="12753"/>
    <n v="1103068.5"/>
    <n v="15"/>
    <n v="791"/>
    <n v="691"/>
    <n v="14067432580.5"/>
    <x v="2"/>
  </r>
  <r>
    <d v="2020-05-01T00:00:00"/>
    <x v="9"/>
    <n v="17113.5"/>
    <n v="1465842"/>
    <n v="15"/>
    <n v="996"/>
    <n v="888"/>
    <n v="25085687067"/>
    <x v="3"/>
  </r>
  <r>
    <d v="2020-05-02T00:00:00"/>
    <x v="9"/>
    <n v="12313.5"/>
    <n v="1053220.5"/>
    <n v="15"/>
    <n v="751"/>
    <n v="651"/>
    <n v="12968830626.75"/>
    <x v="4"/>
  </r>
  <r>
    <d v="2020-05-03T00:00:00"/>
    <x v="9"/>
    <n v="12924"/>
    <n v="1120009.5"/>
    <n v="15"/>
    <n v="784"/>
    <n v="696"/>
    <n v="14475002778"/>
    <x v="5"/>
  </r>
  <r>
    <d v="2020-05-04T00:00:00"/>
    <x v="9"/>
    <n v="12301.5"/>
    <n v="1085211"/>
    <n v="15"/>
    <n v="750"/>
    <n v="647"/>
    <n v="13349723116.5"/>
    <x v="6"/>
  </r>
  <r>
    <d v="2020-05-05T00:00:00"/>
    <x v="9"/>
    <n v="15987"/>
    <n v="1384179"/>
    <n v="15"/>
    <n v="922"/>
    <n v="823"/>
    <n v="22128869673"/>
    <x v="0"/>
  </r>
  <r>
    <d v="2020-05-06T00:00:00"/>
    <x v="9"/>
    <n v="14061"/>
    <n v="1221057"/>
    <n v="15"/>
    <n v="839"/>
    <n v="733"/>
    <n v="17169282477"/>
    <x v="1"/>
  </r>
  <r>
    <d v="2020-05-07T00:00:00"/>
    <x v="9"/>
    <n v="12705"/>
    <n v="1123894.5"/>
    <n v="15"/>
    <n v="805"/>
    <n v="703"/>
    <n v="14279079622.5"/>
    <x v="2"/>
  </r>
  <r>
    <d v="2020-05-08T00:00:00"/>
    <x v="9"/>
    <n v="14494.5"/>
    <n v="1269786"/>
    <n v="15"/>
    <n v="879"/>
    <n v="768"/>
    <n v="18404913177"/>
    <x v="3"/>
  </r>
  <r>
    <d v="2020-05-09T00:00:00"/>
    <x v="9"/>
    <n v="13948.5"/>
    <n v="1222932"/>
    <n v="15"/>
    <n v="849"/>
    <n v="740"/>
    <n v="17058067002"/>
    <x v="4"/>
  </r>
  <r>
    <d v="2020-05-10T00:00:00"/>
    <x v="9"/>
    <n v="16435.5"/>
    <n v="1471537.5"/>
    <n v="15"/>
    <n v="950"/>
    <n v="848"/>
    <n v="24185454581.25"/>
    <x v="5"/>
  </r>
  <r>
    <d v="2020-05-11T00:00:00"/>
    <x v="9"/>
    <n v="12238.5"/>
    <n v="1096002"/>
    <n v="15"/>
    <n v="812"/>
    <n v="714"/>
    <n v="13413420477"/>
    <x v="6"/>
  </r>
  <r>
    <d v="2020-05-12T00:00:00"/>
    <x v="9"/>
    <n v="12802.5"/>
    <n v="1123830"/>
    <n v="15"/>
    <n v="845"/>
    <n v="743"/>
    <n v="14387833575"/>
    <x v="0"/>
  </r>
  <r>
    <d v="2020-05-13T00:00:00"/>
    <x v="9"/>
    <n v="14305.5"/>
    <n v="1243507.5"/>
    <n v="15"/>
    <n v="898"/>
    <n v="795"/>
    <n v="17788996541.25"/>
    <x v="1"/>
  </r>
  <r>
    <d v="2020-05-14T00:00:00"/>
    <x v="9"/>
    <n v="14385"/>
    <n v="1223491.5"/>
    <n v="15"/>
    <n v="890"/>
    <n v="777"/>
    <n v="17599925227.5"/>
    <x v="2"/>
  </r>
  <r>
    <d v="2020-05-15T00:00:00"/>
    <x v="9"/>
    <n v="16498.5"/>
    <n v="1370482.5"/>
    <n v="15"/>
    <n v="980"/>
    <n v="867"/>
    <n v="22610905526.25"/>
    <x v="3"/>
  </r>
  <r>
    <d v="2020-05-16T00:00:00"/>
    <x v="9"/>
    <n v="18600"/>
    <n v="1601425.5"/>
    <n v="15"/>
    <n v="1111"/>
    <n v="992"/>
    <n v="29786514300"/>
    <x v="4"/>
  </r>
  <r>
    <d v="2020-05-17T00:00:00"/>
    <x v="9"/>
    <n v="15609"/>
    <n v="1377577.5"/>
    <n v="15"/>
    <n v="971"/>
    <n v="856"/>
    <n v="21502607197.5"/>
    <x v="5"/>
  </r>
  <r>
    <d v="2020-05-18T00:00:00"/>
    <x v="9"/>
    <n v="14290.5"/>
    <n v="1246162.5"/>
    <n v="16"/>
    <n v="925"/>
    <n v="816"/>
    <n v="17808285206.25"/>
    <x v="6"/>
  </r>
  <r>
    <d v="2020-05-19T00:00:00"/>
    <x v="9"/>
    <n v="16638"/>
    <n v="1364847"/>
    <n v="16"/>
    <n v="1012"/>
    <n v="900"/>
    <n v="22708324386"/>
    <x v="0"/>
  </r>
  <r>
    <d v="2020-05-20T00:00:00"/>
    <x v="9"/>
    <n v="17329.5"/>
    <n v="1430254.5"/>
    <n v="16"/>
    <n v="1050"/>
    <n v="938"/>
    <n v="24785595357.75"/>
    <x v="1"/>
  </r>
  <r>
    <d v="2020-05-21T00:00:00"/>
    <x v="9"/>
    <n v="16554"/>
    <n v="1380751.5"/>
    <n v="17"/>
    <n v="1045"/>
    <n v="930"/>
    <n v="22856960331"/>
    <x v="2"/>
  </r>
  <r>
    <d v="2020-05-22T00:00:00"/>
    <x v="9"/>
    <n v="21483"/>
    <n v="1774329"/>
    <n v="17"/>
    <n v="1268"/>
    <n v="1129"/>
    <n v="38117909907"/>
    <x v="3"/>
  </r>
  <r>
    <d v="2020-05-23T00:00:00"/>
    <x v="9"/>
    <n v="21958.5"/>
    <n v="1854001.5"/>
    <n v="17"/>
    <n v="1294"/>
    <n v="1155"/>
    <n v="40711091937.75"/>
    <x v="4"/>
  </r>
  <r>
    <d v="2020-05-24T00:00:00"/>
    <x v="9"/>
    <n v="18075"/>
    <n v="1548099"/>
    <n v="17"/>
    <n v="1128"/>
    <n v="1001"/>
    <n v="27981889425"/>
    <x v="5"/>
  </r>
  <r>
    <d v="2020-05-25T00:00:00"/>
    <x v="9"/>
    <n v="17211"/>
    <n v="1507867.5"/>
    <n v="17"/>
    <n v="1142"/>
    <n v="1020"/>
    <n v="25951907542.5"/>
    <x v="6"/>
  </r>
  <r>
    <d v="2020-05-26T00:00:00"/>
    <x v="9"/>
    <n v="17391"/>
    <n v="1489132.5"/>
    <n v="17"/>
    <n v="1140"/>
    <n v="1016"/>
    <n v="25897503307.5"/>
    <x v="0"/>
  </r>
  <r>
    <d v="2020-05-27T00:00:00"/>
    <x v="9"/>
    <n v="18069"/>
    <n v="1603084.5"/>
    <n v="17"/>
    <n v="1203"/>
    <n v="1077"/>
    <n v="28966133830.5"/>
    <x v="1"/>
  </r>
  <r>
    <d v="2020-05-28T00:00:00"/>
    <x v="9"/>
    <n v="16500"/>
    <n v="1487928"/>
    <n v="17"/>
    <n v="1097"/>
    <n v="968"/>
    <n v="24550812000"/>
    <x v="2"/>
  </r>
  <r>
    <d v="2020-05-29T00:00:00"/>
    <x v="9"/>
    <n v="19647"/>
    <n v="1764669"/>
    <n v="17"/>
    <n v="1296"/>
    <n v="1153"/>
    <n v="34670451843"/>
    <x v="3"/>
  </r>
  <r>
    <d v="2020-05-30T00:00:00"/>
    <x v="9"/>
    <n v="27250.5"/>
    <n v="2457252"/>
    <n v="17"/>
    <n v="1697"/>
    <n v="1499"/>
    <n v="66961345626"/>
    <x v="4"/>
  </r>
  <r>
    <d v="2020-05-31T00:00:00"/>
    <x v="9"/>
    <n v="17689.5"/>
    <n v="1592119.5"/>
    <n v="17"/>
    <n v="1186"/>
    <n v="1054"/>
    <n v="28163797895.25"/>
    <x v="5"/>
  </r>
  <r>
    <d v="2020-06-01T00:00:00"/>
    <x v="9"/>
    <n v="16687.5"/>
    <n v="1526608.5"/>
    <n v="17"/>
    <n v="1185"/>
    <n v="1042"/>
    <n v="25475279343.75"/>
    <x v="6"/>
  </r>
  <r>
    <d v="2020-04-30T00:00:00"/>
    <x v="10"/>
    <n v="4285.5"/>
    <n v="404691"/>
    <n v="15"/>
    <n v="262"/>
    <n v="195"/>
    <n v="1734303280.5"/>
    <x v="2"/>
  </r>
  <r>
    <d v="2020-05-01T00:00:00"/>
    <x v="10"/>
    <n v="5446.5"/>
    <n v="505572"/>
    <n v="15"/>
    <n v="294"/>
    <n v="225"/>
    <n v="2753597898"/>
    <x v="3"/>
  </r>
  <r>
    <d v="2020-05-02T00:00:00"/>
    <x v="10"/>
    <n v="4624.5"/>
    <n v="433243.5"/>
    <n v="15"/>
    <n v="274"/>
    <n v="203"/>
    <n v="2003534565.75"/>
    <x v="4"/>
  </r>
  <r>
    <d v="2020-05-03T00:00:00"/>
    <x v="10"/>
    <n v="8127"/>
    <n v="665302.5"/>
    <n v="15"/>
    <n v="455"/>
    <n v="384"/>
    <n v="5406913417.5"/>
    <x v="5"/>
  </r>
  <r>
    <d v="2020-05-04T00:00:00"/>
    <x v="10"/>
    <n v="7087.5"/>
    <n v="610855.5"/>
    <n v="15"/>
    <n v="390"/>
    <n v="315"/>
    <n v="4329438356.25"/>
    <x v="6"/>
  </r>
  <r>
    <d v="2020-05-05T00:00:00"/>
    <x v="10"/>
    <n v="8223"/>
    <n v="694593"/>
    <n v="15"/>
    <n v="455"/>
    <n v="381"/>
    <n v="5711638239"/>
    <x v="0"/>
  </r>
  <r>
    <d v="2020-05-06T00:00:00"/>
    <x v="10"/>
    <n v="8464.5"/>
    <n v="739291.5"/>
    <n v="15"/>
    <n v="467"/>
    <n v="389"/>
    <n v="6257732901.75"/>
    <x v="1"/>
  </r>
  <r>
    <d v="2020-05-07T00:00:00"/>
    <x v="10"/>
    <n v="8719.5"/>
    <n v="769276.5"/>
    <n v="15"/>
    <n v="480"/>
    <n v="398"/>
    <n v="6707706441.75"/>
    <x v="2"/>
  </r>
  <r>
    <d v="2020-05-08T00:00:00"/>
    <x v="10"/>
    <n v="9058.5"/>
    <n v="798759"/>
    <n v="15"/>
    <n v="492"/>
    <n v="412"/>
    <n v="7235558401.5"/>
    <x v="3"/>
  </r>
  <r>
    <d v="2020-05-09T00:00:00"/>
    <x v="10"/>
    <n v="12037.5"/>
    <n v="1081216.5"/>
    <n v="15"/>
    <n v="623"/>
    <n v="535"/>
    <n v="13015143618.75"/>
    <x v="4"/>
  </r>
  <r>
    <d v="2020-05-10T00:00:00"/>
    <x v="10"/>
    <n v="13440"/>
    <n v="1198285.5"/>
    <n v="15"/>
    <n v="706"/>
    <n v="608"/>
    <n v="16104957120"/>
    <x v="5"/>
  </r>
  <r>
    <d v="2020-05-11T00:00:00"/>
    <x v="10"/>
    <n v="12654"/>
    <n v="1081158"/>
    <n v="15"/>
    <n v="684"/>
    <n v="585"/>
    <n v="13680973332"/>
    <x v="6"/>
  </r>
  <r>
    <d v="2020-05-12T00:00:00"/>
    <x v="10"/>
    <n v="11296.5"/>
    <n v="989632.5"/>
    <n v="15"/>
    <n v="624"/>
    <n v="538"/>
    <n v="11179383536.25"/>
    <x v="0"/>
  </r>
  <r>
    <d v="2020-05-13T00:00:00"/>
    <x v="10"/>
    <n v="10401"/>
    <n v="949912.5"/>
    <n v="15"/>
    <n v="599"/>
    <n v="515"/>
    <n v="9880039912.5"/>
    <x v="1"/>
  </r>
  <r>
    <d v="2020-05-14T00:00:00"/>
    <x v="10"/>
    <n v="11161.5"/>
    <n v="963502.5"/>
    <n v="15"/>
    <n v="638"/>
    <n v="548"/>
    <n v="10754133153.75"/>
    <x v="2"/>
  </r>
  <r>
    <d v="2020-05-15T00:00:00"/>
    <x v="10"/>
    <n v="12229.5"/>
    <n v="1122730.5"/>
    <n v="15"/>
    <n v="688"/>
    <n v="598"/>
    <n v="13730432649.75"/>
    <x v="3"/>
  </r>
  <r>
    <d v="2020-05-16T00:00:00"/>
    <x v="10"/>
    <n v="13120.5"/>
    <n v="1215033"/>
    <n v="15"/>
    <n v="747"/>
    <n v="647"/>
    <n v="15941840476.5"/>
    <x v="4"/>
  </r>
  <r>
    <d v="2020-05-17T00:00:00"/>
    <x v="10"/>
    <n v="11967"/>
    <n v="1060489.5"/>
    <n v="15"/>
    <n v="692"/>
    <n v="591"/>
    <n v="12690877846.5"/>
    <x v="5"/>
  </r>
  <r>
    <d v="2020-05-18T00:00:00"/>
    <x v="10"/>
    <n v="12450"/>
    <n v="1115146.5"/>
    <n v="15"/>
    <n v="729"/>
    <n v="636"/>
    <n v="13883573925"/>
    <x v="6"/>
  </r>
  <r>
    <d v="2020-05-19T00:00:00"/>
    <x v="10"/>
    <n v="16237.5"/>
    <n v="1403047.5"/>
    <n v="15"/>
    <n v="930"/>
    <n v="827"/>
    <n v="22781983781.25"/>
    <x v="0"/>
  </r>
  <r>
    <d v="2020-05-20T00:00:00"/>
    <x v="10"/>
    <n v="12630"/>
    <n v="1104858"/>
    <n v="15"/>
    <n v="760"/>
    <n v="664"/>
    <n v="13954356540"/>
    <x v="1"/>
  </r>
  <r>
    <d v="2020-05-21T00:00:00"/>
    <x v="10"/>
    <n v="12135"/>
    <n v="1103623.5"/>
    <n v="15"/>
    <n v="749"/>
    <n v="652"/>
    <n v="13392471172.5"/>
    <x v="2"/>
  </r>
  <r>
    <d v="2020-05-22T00:00:00"/>
    <x v="10"/>
    <n v="15802.5"/>
    <n v="1411909.5"/>
    <n v="15"/>
    <n v="903"/>
    <n v="792"/>
    <n v="22311699873.75"/>
    <x v="3"/>
  </r>
  <r>
    <d v="2020-05-23T00:00:00"/>
    <x v="10"/>
    <n v="14167.5"/>
    <n v="1315075.5"/>
    <n v="15"/>
    <n v="840"/>
    <n v="725"/>
    <n v="18631332146.25"/>
    <x v="4"/>
  </r>
  <r>
    <d v="2020-05-24T00:00:00"/>
    <x v="10"/>
    <n v="12666"/>
    <n v="1184865"/>
    <n v="15"/>
    <n v="779"/>
    <n v="673"/>
    <n v="15007500090"/>
    <x v="5"/>
  </r>
  <r>
    <d v="2020-05-25T00:00:00"/>
    <x v="10"/>
    <n v="13260"/>
    <n v="1230687"/>
    <n v="15"/>
    <n v="835"/>
    <n v="736"/>
    <n v="16318909620"/>
    <x v="6"/>
  </r>
  <r>
    <d v="2020-05-26T00:00:00"/>
    <x v="10"/>
    <n v="12259.5"/>
    <n v="1152054"/>
    <n v="15"/>
    <n v="812"/>
    <n v="711"/>
    <n v="14123606013"/>
    <x v="0"/>
  </r>
  <r>
    <d v="2020-05-27T00:00:00"/>
    <x v="10"/>
    <n v="13203"/>
    <n v="1211457"/>
    <n v="15"/>
    <n v="809"/>
    <n v="702"/>
    <n v="15994866771"/>
    <x v="1"/>
  </r>
  <r>
    <d v="2020-05-28T00:00:00"/>
    <x v="10"/>
    <n v="13864.5"/>
    <n v="1239747"/>
    <n v="16"/>
    <n v="876"/>
    <n v="762"/>
    <n v="17188472281.5"/>
    <x v="2"/>
  </r>
  <r>
    <d v="2020-05-29T00:00:00"/>
    <x v="10"/>
    <n v="17052"/>
    <n v="1549020"/>
    <n v="16"/>
    <n v="981"/>
    <n v="859"/>
    <n v="26413889040"/>
    <x v="3"/>
  </r>
  <r>
    <d v="2020-05-30T00:00:00"/>
    <x v="10"/>
    <n v="17946"/>
    <n v="1609090.5"/>
    <n v="16"/>
    <n v="1048"/>
    <n v="918"/>
    <n v="28876738113"/>
    <x v="4"/>
  </r>
  <r>
    <d v="2020-05-31T00:00:00"/>
    <x v="10"/>
    <n v="14808"/>
    <n v="1336789.5"/>
    <n v="16"/>
    <n v="917"/>
    <n v="802"/>
    <n v="19795178916"/>
    <x v="5"/>
  </r>
  <r>
    <d v="2020-06-01T00:00:00"/>
    <x v="10"/>
    <n v="16476"/>
    <n v="1565632.5"/>
    <n v="16"/>
    <n v="1019"/>
    <n v="895"/>
    <n v="25795361070"/>
    <x v="6"/>
  </r>
  <r>
    <d v="2020-05-28T00:00:00"/>
    <x v="11"/>
    <n v="8536.5"/>
    <n v="643944"/>
    <n v="15"/>
    <n v="464"/>
    <n v="390"/>
    <n v="5497027956"/>
    <x v="2"/>
  </r>
  <r>
    <d v="2020-05-29T00:00:00"/>
    <x v="11"/>
    <n v="8350.5"/>
    <n v="651237"/>
    <n v="15"/>
    <n v="400"/>
    <n v="329"/>
    <n v="5438154568.5"/>
    <x v="3"/>
  </r>
  <r>
    <d v="2020-05-30T00:00:00"/>
    <x v="11"/>
    <n v="10029"/>
    <n v="787101"/>
    <n v="15"/>
    <n v="490"/>
    <n v="409"/>
    <n v="7893835929"/>
    <x v="4"/>
  </r>
  <r>
    <d v="2020-05-31T00:00:00"/>
    <x v="11"/>
    <n v="7944"/>
    <n v="623971.5"/>
    <n v="15"/>
    <n v="441"/>
    <n v="368"/>
    <n v="4956829596"/>
    <x v="5"/>
  </r>
  <r>
    <d v="2020-06-01T00:00:00"/>
    <x v="11"/>
    <n v="7816.5"/>
    <n v="636345"/>
    <n v="15"/>
    <n v="453"/>
    <n v="370"/>
    <n v="4973990692.5"/>
    <x v="6"/>
  </r>
  <r>
    <d v="2020-04-28T00:00:00"/>
    <x v="12"/>
    <n v="376060.5"/>
    <n v="39918028.5"/>
    <n v="125"/>
    <n v="20914"/>
    <n v="19479"/>
    <n v="15011593756724.25"/>
    <x v="0"/>
  </r>
  <r>
    <d v="2020-04-29T00:00:00"/>
    <x v="12"/>
    <n v="387220.5"/>
    <n v="41559384"/>
    <n v="125"/>
    <n v="21863"/>
    <n v="20160"/>
    <n v="16092645452172"/>
    <x v="1"/>
  </r>
  <r>
    <d v="2020-04-30T00:00:00"/>
    <x v="12"/>
    <n v="401580"/>
    <n v="43028734.5"/>
    <n v="125"/>
    <n v="22368"/>
    <n v="20625"/>
    <n v="17279479200510"/>
    <x v="2"/>
  </r>
  <r>
    <d v="2020-05-01T00:00:00"/>
    <x v="12"/>
    <n v="372504"/>
    <n v="40077193.5"/>
    <n v="125"/>
    <n v="20602"/>
    <n v="18845"/>
    <n v="14928914887524"/>
    <x v="3"/>
  </r>
  <r>
    <d v="2020-05-02T00:00:00"/>
    <x v="12"/>
    <n v="296580"/>
    <n v="31843737"/>
    <n v="125"/>
    <n v="16932"/>
    <n v="15601"/>
    <n v="9444215519460"/>
    <x v="4"/>
  </r>
  <r>
    <d v="2020-05-03T00:00:00"/>
    <x v="12"/>
    <n v="342666"/>
    <n v="36631999.5"/>
    <n v="125"/>
    <n v="18861"/>
    <n v="17420"/>
    <n v="12552540740667"/>
    <x v="5"/>
  </r>
  <r>
    <d v="2020-05-04T00:00:00"/>
    <x v="12"/>
    <n v="360255"/>
    <n v="38406954"/>
    <n v="125"/>
    <n v="20495"/>
    <n v="18964"/>
    <n v="13836297213270"/>
    <x v="6"/>
  </r>
  <r>
    <d v="2020-05-05T00:00:00"/>
    <x v="12"/>
    <n v="333792"/>
    <n v="35671734"/>
    <n v="125"/>
    <n v="18944"/>
    <n v="17541"/>
    <n v="11906939435328"/>
    <x v="0"/>
  </r>
  <r>
    <d v="2020-05-06T00:00:00"/>
    <x v="12"/>
    <n v="355278"/>
    <n v="38092344"/>
    <n v="125"/>
    <n v="20218"/>
    <n v="18647"/>
    <n v="13533371791632"/>
    <x v="1"/>
  </r>
  <r>
    <d v="2020-05-07T00:00:00"/>
    <x v="12"/>
    <n v="319110"/>
    <n v="33763989"/>
    <n v="125"/>
    <n v="18014"/>
    <n v="16675"/>
    <n v="10774426529790"/>
    <x v="2"/>
  </r>
  <r>
    <d v="2020-05-08T00:00:00"/>
    <x v="12"/>
    <n v="463530"/>
    <n v="49123180.5"/>
    <n v="125"/>
    <n v="24620"/>
    <n v="22641"/>
    <n v="22770067857165"/>
    <x v="3"/>
  </r>
  <r>
    <d v="2020-05-09T00:00:00"/>
    <x v="12"/>
    <n v="359214"/>
    <n v="38693427"/>
    <n v="125"/>
    <n v="20132"/>
    <n v="18617"/>
    <n v="13899220686378"/>
    <x v="4"/>
  </r>
  <r>
    <d v="2020-05-10T00:00:00"/>
    <x v="12"/>
    <n v="368649"/>
    <n v="39010875"/>
    <n v="125"/>
    <n v="20368"/>
    <n v="18884"/>
    <n v="14381320057875"/>
    <x v="5"/>
  </r>
  <r>
    <d v="2020-05-11T00:00:00"/>
    <x v="12"/>
    <n v="318565.5"/>
    <n v="33781581"/>
    <n v="125"/>
    <n v="18066"/>
    <n v="16883"/>
    <n v="10761646242055.5"/>
    <x v="6"/>
  </r>
  <r>
    <d v="2020-05-12T00:00:00"/>
    <x v="12"/>
    <n v="373392"/>
    <n v="39578577"/>
    <n v="125"/>
    <n v="21106"/>
    <n v="19651"/>
    <n v="14778324023184"/>
    <x v="0"/>
  </r>
  <r>
    <d v="2020-05-13T00:00:00"/>
    <x v="12"/>
    <n v="350068.5"/>
    <n v="37197115.5"/>
    <n v="125"/>
    <n v="19965"/>
    <n v="18573"/>
    <n v="13021538427411.75"/>
    <x v="1"/>
  </r>
  <r>
    <d v="2020-05-14T00:00:00"/>
    <x v="12"/>
    <n v="358387.5"/>
    <n v="37963150.5"/>
    <n v="125"/>
    <n v="20247"/>
    <n v="18812"/>
    <n v="13605518599818.75"/>
    <x v="2"/>
  </r>
  <r>
    <d v="2020-05-15T00:00:00"/>
    <x v="12"/>
    <n v="403261.5"/>
    <n v="42271377"/>
    <n v="125"/>
    <n v="21862"/>
    <n v="20235"/>
    <n v="17046418896085.5"/>
    <x v="3"/>
  </r>
  <r>
    <d v="2020-05-16T00:00:00"/>
    <x v="12"/>
    <n v="408810"/>
    <n v="42323631"/>
    <n v="125"/>
    <n v="22291"/>
    <n v="20635"/>
    <n v="17302323589110"/>
    <x v="4"/>
  </r>
  <r>
    <d v="2020-05-17T00:00:00"/>
    <x v="12"/>
    <n v="357072"/>
    <n v="36834567"/>
    <n v="125"/>
    <n v="20079"/>
    <n v="18721"/>
    <n v="13152592507824"/>
    <x v="5"/>
  </r>
  <r>
    <d v="2020-05-18T00:00:00"/>
    <x v="12"/>
    <n v="355081.5"/>
    <n v="36876888"/>
    <n v="125"/>
    <n v="20449"/>
    <n v="19060"/>
    <n v="13094300706372"/>
    <x v="6"/>
  </r>
  <r>
    <d v="2020-05-19T00:00:00"/>
    <x v="12"/>
    <n v="362536.5"/>
    <n v="37023243"/>
    <n v="125"/>
    <n v="20771"/>
    <n v="19338"/>
    <n v="13422276935869.5"/>
    <x v="0"/>
  </r>
  <r>
    <d v="2020-05-20T00:00:00"/>
    <x v="12"/>
    <n v="388668"/>
    <n v="39639309"/>
    <n v="125"/>
    <n v="21674"/>
    <n v="20155"/>
    <n v="15406530950412"/>
    <x v="1"/>
  </r>
  <r>
    <d v="2020-05-21T00:00:00"/>
    <x v="12"/>
    <n v="378043.5"/>
    <n v="37902156.57"/>
    <n v="125"/>
    <n v="20911"/>
    <n v="19358"/>
    <n v="14328663927270.795"/>
    <x v="2"/>
  </r>
  <r>
    <d v="2020-05-22T00:00:00"/>
    <x v="12"/>
    <n v="393018"/>
    <n v="39498373.5"/>
    <n v="125"/>
    <n v="21427"/>
    <n v="19799"/>
    <n v="15523571756223"/>
    <x v="3"/>
  </r>
  <r>
    <d v="2020-05-23T00:00:00"/>
    <x v="12"/>
    <n v="456885"/>
    <n v="46408080"/>
    <n v="125"/>
    <n v="24574"/>
    <n v="22609"/>
    <n v="21203155630800"/>
    <x v="4"/>
  </r>
  <r>
    <d v="2020-05-24T00:00:00"/>
    <x v="12"/>
    <n v="375744"/>
    <n v="38191381.5"/>
    <n v="125"/>
    <n v="21004"/>
    <n v="19556"/>
    <n v="14350182450336"/>
    <x v="5"/>
  </r>
  <r>
    <d v="2020-05-25T00:00:00"/>
    <x v="12"/>
    <n v="349734"/>
    <n v="36883428"/>
    <n v="124"/>
    <n v="20358"/>
    <n v="18890"/>
    <n v="12899388808152"/>
    <x v="6"/>
  </r>
  <r>
    <d v="2020-05-26T00:00:00"/>
    <x v="12"/>
    <n v="369861"/>
    <n v="38365960.5"/>
    <n v="124"/>
    <n v="21153"/>
    <n v="19673"/>
    <n v="14190072516490.5"/>
    <x v="0"/>
  </r>
  <r>
    <d v="2020-05-27T00:00:00"/>
    <x v="12"/>
    <n v="370012.5"/>
    <n v="39034861.5"/>
    <n v="124"/>
    <n v="21384"/>
    <n v="19897"/>
    <n v="14443386690768.75"/>
    <x v="1"/>
  </r>
  <r>
    <d v="2020-05-28T00:00:00"/>
    <x v="12"/>
    <n v="364638"/>
    <n v="37947688.5"/>
    <n v="124"/>
    <n v="20868"/>
    <n v="19342"/>
    <n v="13837169239263"/>
    <x v="2"/>
  </r>
  <r>
    <d v="2020-05-29T00:00:00"/>
    <x v="12"/>
    <n v="524481"/>
    <n v="54172029"/>
    <n v="124"/>
    <n v="25828"/>
    <n v="23974"/>
    <n v="28412199941949"/>
    <x v="3"/>
  </r>
  <r>
    <d v="2020-05-30T00:00:00"/>
    <x v="12"/>
    <n v="453123"/>
    <n v="46370904"/>
    <n v="124"/>
    <n v="24325"/>
    <n v="22469"/>
    <n v="21011723133192"/>
    <x v="4"/>
  </r>
  <r>
    <d v="2020-05-31T00:00:00"/>
    <x v="12"/>
    <n v="379663.5"/>
    <n v="39380178"/>
    <n v="124"/>
    <n v="21392"/>
    <n v="19869"/>
    <n v="14951216210103"/>
    <x v="5"/>
  </r>
  <r>
    <d v="2020-06-01T00:00:00"/>
    <x v="12"/>
    <n v="349699.5"/>
    <n v="37257840.18135"/>
    <n v="123"/>
    <n v="20325"/>
    <n v="18935"/>
    <n v="13029048082498.004"/>
    <x v="6"/>
  </r>
  <r>
    <d v="2020-04-28T00:00:00"/>
    <x v="13"/>
    <n v="286002"/>
    <n v="29159032.5"/>
    <n v="128"/>
    <n v="16450"/>
    <n v="15320"/>
    <n v="8339541613065"/>
    <x v="0"/>
  </r>
  <r>
    <d v="2020-04-29T00:00:00"/>
    <x v="13"/>
    <n v="298059"/>
    <n v="30869287.5"/>
    <n v="128"/>
    <n v="17368"/>
    <n v="16077"/>
    <n v="9200868962962.5"/>
    <x v="1"/>
  </r>
  <r>
    <d v="2020-04-30T00:00:00"/>
    <x v="13"/>
    <n v="311131.5"/>
    <n v="32418879"/>
    <n v="129"/>
    <n v="18042"/>
    <n v="16631"/>
    <n v="10086534451588.5"/>
    <x v="2"/>
  </r>
  <r>
    <d v="2020-05-01T00:00:00"/>
    <x v="13"/>
    <n v="296149.5"/>
    <n v="31053316.5"/>
    <n v="129"/>
    <n v="17002"/>
    <n v="15570"/>
    <n v="9196424154816.75"/>
    <x v="3"/>
  </r>
  <r>
    <d v="2020-05-02T00:00:00"/>
    <x v="13"/>
    <n v="232903.5"/>
    <n v="24342016.5"/>
    <n v="129"/>
    <n v="14009"/>
    <n v="12920"/>
    <n v="5669340839907.75"/>
    <x v="4"/>
  </r>
  <r>
    <d v="2020-05-03T00:00:00"/>
    <x v="13"/>
    <n v="274083"/>
    <n v="28427001"/>
    <n v="129"/>
    <n v="15778"/>
    <n v="14624"/>
    <n v="7791357715083"/>
    <x v="5"/>
  </r>
  <r>
    <d v="2020-05-04T00:00:00"/>
    <x v="13"/>
    <n v="283942.5"/>
    <n v="29357940"/>
    <n v="129"/>
    <n v="16525"/>
    <n v="15310"/>
    <n v="8335966878450"/>
    <x v="6"/>
  </r>
  <r>
    <d v="2020-05-05T00:00:00"/>
    <x v="13"/>
    <n v="262734"/>
    <n v="27278441.145"/>
    <n v="129"/>
    <n v="15665"/>
    <n v="14501"/>
    <n v="7166973955790.4297"/>
    <x v="0"/>
  </r>
  <r>
    <d v="2020-05-06T00:00:00"/>
    <x v="13"/>
    <n v="277512"/>
    <n v="28770810.105599999"/>
    <n v="129"/>
    <n v="16376"/>
    <n v="15197"/>
    <n v="7984245054025.2666"/>
    <x v="1"/>
  </r>
  <r>
    <d v="2020-05-07T00:00:00"/>
    <x v="13"/>
    <n v="247813.5"/>
    <n v="25325271"/>
    <n v="129"/>
    <n v="14582"/>
    <n v="13512"/>
    <n v="6275944044958.5"/>
    <x v="2"/>
  </r>
  <r>
    <d v="2020-05-08T00:00:00"/>
    <x v="13"/>
    <n v="370092"/>
    <n v="38091556.5"/>
    <n v="129"/>
    <n v="20452"/>
    <n v="18857"/>
    <n v="14097380328198"/>
    <x v="3"/>
  </r>
  <r>
    <d v="2020-05-09T00:00:00"/>
    <x v="13"/>
    <n v="285972"/>
    <n v="29768199"/>
    <n v="129"/>
    <n v="16420"/>
    <n v="15169"/>
    <n v="8512871404428"/>
    <x v="4"/>
  </r>
  <r>
    <d v="2020-05-10T00:00:00"/>
    <x v="13"/>
    <n v="287206.5"/>
    <n v="29536176.10605"/>
    <n v="129"/>
    <n v="16437"/>
    <n v="15285"/>
    <n v="8482981762802.249"/>
    <x v="5"/>
  </r>
  <r>
    <d v="2020-05-11T00:00:00"/>
    <x v="13"/>
    <n v="237099"/>
    <n v="24628233.223949999"/>
    <n v="129"/>
    <n v="14043"/>
    <n v="13167"/>
    <n v="5839329469165.3203"/>
    <x v="6"/>
  </r>
  <r>
    <d v="2020-05-12T00:00:00"/>
    <x v="13"/>
    <n v="281796"/>
    <n v="29042520"/>
    <n v="129"/>
    <n v="16387"/>
    <n v="15322"/>
    <n v="8184065965920"/>
    <x v="0"/>
  </r>
  <r>
    <d v="2020-05-13T00:00:00"/>
    <x v="13"/>
    <n v="258459"/>
    <n v="26467453.5"/>
    <n v="129"/>
    <n v="15304"/>
    <n v="14315"/>
    <n v="6840751564156.5"/>
    <x v="1"/>
  </r>
  <r>
    <d v="2020-05-14T00:00:00"/>
    <x v="13"/>
    <n v="274059"/>
    <n v="28181292"/>
    <n v="129"/>
    <n v="15804"/>
    <n v="14738"/>
    <n v="7723336704228"/>
    <x v="2"/>
  </r>
  <r>
    <d v="2020-05-15T00:00:00"/>
    <x v="13"/>
    <n v="318816"/>
    <n v="32354331"/>
    <n v="129"/>
    <n v="17808"/>
    <n v="16486"/>
    <n v="10315078392096"/>
    <x v="3"/>
  </r>
  <r>
    <d v="2020-05-16T00:00:00"/>
    <x v="13"/>
    <n v="321412.5"/>
    <n v="32235864"/>
    <n v="129"/>
    <n v="17914"/>
    <n v="16631"/>
    <n v="10361009637900"/>
    <x v="4"/>
  </r>
  <r>
    <d v="2020-05-17T00:00:00"/>
    <x v="13"/>
    <n v="269029.5"/>
    <n v="26659930.5"/>
    <n v="129"/>
    <n v="15744"/>
    <n v="14685"/>
    <n v="7172307772449.75"/>
    <x v="5"/>
  </r>
  <r>
    <d v="2020-05-18T00:00:00"/>
    <x v="13"/>
    <n v="273900"/>
    <n v="27535284.147600003"/>
    <n v="129"/>
    <n v="16110"/>
    <n v="14992"/>
    <n v="7541914328027.6406"/>
    <x v="6"/>
  </r>
  <r>
    <d v="2020-05-19T00:00:00"/>
    <x v="13"/>
    <n v="276568.5"/>
    <n v="27093624"/>
    <n v="129"/>
    <n v="16191"/>
    <n v="15102"/>
    <n v="7493242949244"/>
    <x v="0"/>
  </r>
  <r>
    <d v="2020-05-20T00:00:00"/>
    <x v="13"/>
    <n v="300151.5"/>
    <n v="29368771.617449999"/>
    <n v="129"/>
    <n v="17095"/>
    <n v="15919"/>
    <n v="8815080854135.043"/>
    <x v="1"/>
  </r>
  <r>
    <d v="2020-05-21T00:00:00"/>
    <x v="13"/>
    <n v="288936"/>
    <n v="27852900"/>
    <n v="129"/>
    <n v="16373"/>
    <n v="15223"/>
    <n v="8047705514400"/>
    <x v="2"/>
  </r>
  <r>
    <d v="2020-05-22T00:00:00"/>
    <x v="13"/>
    <n v="304092"/>
    <n v="29465769"/>
    <n v="129"/>
    <n v="17088"/>
    <n v="15804"/>
    <n v="8960304626748"/>
    <x v="3"/>
  </r>
  <r>
    <d v="2020-05-23T00:00:00"/>
    <x v="13"/>
    <n v="356982"/>
    <n v="35103926.711549997"/>
    <n v="129"/>
    <n v="19856"/>
    <n v="18325"/>
    <n v="12531469965342.541"/>
    <x v="4"/>
  </r>
  <r>
    <d v="2020-05-24T00:00:00"/>
    <x v="13"/>
    <n v="287740.5"/>
    <n v="28188534"/>
    <n v="129"/>
    <n v="16432"/>
    <n v="15345"/>
    <n v="8110982867427"/>
    <x v="5"/>
  </r>
  <r>
    <d v="2020-05-25T00:00:00"/>
    <x v="13"/>
    <n v="266983.5"/>
    <n v="27165913.5"/>
    <n v="129"/>
    <n v="15822"/>
    <n v="14753"/>
    <n v="7252850666927.25"/>
    <x v="6"/>
  </r>
  <r>
    <d v="2020-05-26T00:00:00"/>
    <x v="13"/>
    <n v="276966"/>
    <n v="27872617.898850001"/>
    <n v="129"/>
    <n v="16459"/>
    <n v="15355"/>
    <n v="7719767488972.8896"/>
    <x v="0"/>
  </r>
  <r>
    <d v="2020-05-27T00:00:00"/>
    <x v="13"/>
    <n v="286558.5"/>
    <n v="29256993"/>
    <n v="129"/>
    <n v="17115"/>
    <n v="15962"/>
    <n v="8383840028590.5"/>
    <x v="1"/>
  </r>
  <r>
    <d v="2020-05-28T00:00:00"/>
    <x v="13"/>
    <n v="278491.5"/>
    <n v="28151004.75"/>
    <n v="129"/>
    <n v="16453"/>
    <n v="15289"/>
    <n v="7839815539334.625"/>
    <x v="2"/>
  </r>
  <r>
    <d v="2020-05-29T00:00:00"/>
    <x v="13"/>
    <n v="422965.5"/>
    <n v="41767140.105000004"/>
    <n v="129"/>
    <n v="22403"/>
    <n v="20676"/>
    <n v="17666059298081.379"/>
    <x v="3"/>
  </r>
  <r>
    <d v="2020-05-30T00:00:00"/>
    <x v="13"/>
    <n v="364882.5"/>
    <n v="35724493.5"/>
    <n v="129"/>
    <n v="20243"/>
    <n v="18711"/>
    <n v="13035242499513.75"/>
    <x v="4"/>
  </r>
  <r>
    <d v="2020-05-31T00:00:00"/>
    <x v="13"/>
    <n v="294337.5"/>
    <n v="29327766"/>
    <n v="129"/>
    <n v="17235"/>
    <n v="16052"/>
    <n v="8632261325025"/>
    <x v="5"/>
  </r>
  <r>
    <d v="2020-06-01T00:00:00"/>
    <x v="13"/>
    <n v="272926.5"/>
    <n v="27770092.5"/>
    <n v="128"/>
    <n v="16285"/>
    <n v="15130"/>
    <n v="7579194150701.25"/>
    <x v="6"/>
  </r>
  <r>
    <d v="2020-04-28T00:00:00"/>
    <x v="14"/>
    <n v="12331.5"/>
    <n v="869983.5"/>
    <n v="10"/>
    <n v="580"/>
    <n v="506"/>
    <n v="10728201530.25"/>
    <x v="0"/>
  </r>
  <r>
    <d v="2020-04-29T00:00:00"/>
    <x v="14"/>
    <n v="10840.5"/>
    <n v="797919"/>
    <n v="10"/>
    <n v="502"/>
    <n v="433"/>
    <n v="8649840919.5"/>
    <x v="1"/>
  </r>
  <r>
    <d v="2020-04-30T00:00:00"/>
    <x v="14"/>
    <n v="8934"/>
    <n v="716196"/>
    <n v="10"/>
    <n v="448"/>
    <n v="376"/>
    <n v="6398495064"/>
    <x v="2"/>
  </r>
  <r>
    <d v="2020-05-01T00:00:00"/>
    <x v="14"/>
    <n v="11619"/>
    <n v="891139.5"/>
    <n v="10"/>
    <n v="554"/>
    <n v="472"/>
    <n v="10354149850.5"/>
    <x v="3"/>
  </r>
  <r>
    <d v="2020-05-02T00:00:00"/>
    <x v="14"/>
    <n v="7866"/>
    <n v="617881.5"/>
    <n v="10"/>
    <n v="416"/>
    <n v="341"/>
    <n v="4860255879"/>
    <x v="4"/>
  </r>
  <r>
    <d v="2020-05-03T00:00:00"/>
    <x v="14"/>
    <n v="8185.5"/>
    <n v="637881"/>
    <n v="10"/>
    <n v="402"/>
    <n v="333"/>
    <n v="5221374925.5"/>
    <x v="5"/>
  </r>
  <r>
    <d v="2020-05-04T00:00:00"/>
    <x v="14"/>
    <n v="9130.5"/>
    <n v="728890.5"/>
    <n v="10"/>
    <n v="462"/>
    <n v="396"/>
    <n v="6655134710.25"/>
    <x v="6"/>
  </r>
  <r>
    <d v="2020-05-05T00:00:00"/>
    <x v="14"/>
    <n v="10147.5"/>
    <n v="793320"/>
    <n v="10"/>
    <n v="511"/>
    <n v="437"/>
    <n v="8050214700"/>
    <x v="0"/>
  </r>
  <r>
    <d v="2020-05-06T00:00:00"/>
    <x v="14"/>
    <n v="9210"/>
    <n v="696832.5"/>
    <n v="10"/>
    <n v="465"/>
    <n v="390"/>
    <n v="6417827325"/>
    <x v="1"/>
  </r>
  <r>
    <d v="2020-05-07T00:00:00"/>
    <x v="14"/>
    <n v="11029.5"/>
    <n v="863754"/>
    <n v="10"/>
    <n v="563"/>
    <n v="486"/>
    <n v="9526774743"/>
    <x v="2"/>
  </r>
  <r>
    <d v="2020-05-08T00:00:00"/>
    <x v="14"/>
    <n v="12528"/>
    <n v="959703"/>
    <n v="10"/>
    <n v="638"/>
    <n v="547"/>
    <n v="12023159184"/>
    <x v="3"/>
  </r>
  <r>
    <d v="2020-05-09T00:00:00"/>
    <x v="14"/>
    <n v="13216.5"/>
    <n v="1046400"/>
    <n v="10"/>
    <n v="644"/>
    <n v="559"/>
    <n v="13829745600"/>
    <x v="4"/>
  </r>
  <r>
    <d v="2020-05-10T00:00:00"/>
    <x v="14"/>
    <n v="12918"/>
    <n v="1004788.5"/>
    <n v="10"/>
    <n v="642"/>
    <n v="556"/>
    <n v="12979857843"/>
    <x v="5"/>
  </r>
  <r>
    <d v="2020-05-11T00:00:00"/>
    <x v="14"/>
    <n v="9007.5"/>
    <n v="734335.5"/>
    <n v="10"/>
    <n v="494"/>
    <n v="421"/>
    <n v="6614527016.25"/>
    <x v="6"/>
  </r>
  <r>
    <d v="2020-05-12T00:00:00"/>
    <x v="14"/>
    <n v="9328.5"/>
    <n v="732964.5"/>
    <n v="10"/>
    <n v="526"/>
    <n v="448"/>
    <n v="6837459338.25"/>
    <x v="0"/>
  </r>
  <r>
    <d v="2020-05-13T00:00:00"/>
    <x v="14"/>
    <n v="11202"/>
    <n v="865714.5"/>
    <n v="10"/>
    <n v="612"/>
    <n v="530"/>
    <n v="9697733829"/>
    <x v="1"/>
  </r>
  <r>
    <d v="2020-05-14T00:00:00"/>
    <x v="14"/>
    <n v="12037.5"/>
    <n v="981564"/>
    <n v="10"/>
    <n v="627"/>
    <n v="545"/>
    <n v="11815576650"/>
    <x v="2"/>
  </r>
  <r>
    <d v="2020-05-15T00:00:00"/>
    <x v="14"/>
    <n v="14421"/>
    <n v="1150579.5"/>
    <n v="10"/>
    <n v="743"/>
    <n v="652"/>
    <n v="16592506969.5"/>
    <x v="3"/>
  </r>
  <r>
    <d v="2020-05-16T00:00:00"/>
    <x v="14"/>
    <n v="14265"/>
    <n v="1130506.5"/>
    <n v="10"/>
    <n v="760"/>
    <n v="672"/>
    <n v="16126675222.5"/>
    <x v="4"/>
  </r>
  <r>
    <d v="2020-05-17T00:00:00"/>
    <x v="14"/>
    <n v="10402.5"/>
    <n v="843727.5"/>
    <n v="10"/>
    <n v="591"/>
    <n v="513"/>
    <n v="8776875318.75"/>
    <x v="5"/>
  </r>
  <r>
    <d v="2020-05-18T00:00:00"/>
    <x v="14"/>
    <n v="11680.5"/>
    <n v="936427.5"/>
    <n v="10"/>
    <n v="645"/>
    <n v="565"/>
    <n v="10937941413.75"/>
    <x v="6"/>
  </r>
  <r>
    <d v="2020-05-19T00:00:00"/>
    <x v="14"/>
    <n v="11526"/>
    <n v="938764.5"/>
    <n v="10"/>
    <n v="649"/>
    <n v="568"/>
    <n v="10820199627"/>
    <x v="0"/>
  </r>
  <r>
    <d v="2020-05-20T00:00:00"/>
    <x v="14"/>
    <n v="13063.5"/>
    <n v="1037247"/>
    <n v="10"/>
    <n v="745"/>
    <n v="654"/>
    <n v="13550076184.5"/>
    <x v="1"/>
  </r>
  <r>
    <d v="2020-05-21T00:00:00"/>
    <x v="14"/>
    <n v="11250"/>
    <n v="935523"/>
    <n v="10"/>
    <n v="677"/>
    <n v="591"/>
    <n v="10524633750"/>
    <x v="2"/>
  </r>
  <r>
    <d v="2020-05-22T00:00:00"/>
    <x v="14"/>
    <n v="18036"/>
    <n v="1455049.5"/>
    <n v="10"/>
    <n v="965"/>
    <n v="861"/>
    <n v="26243272782"/>
    <x v="3"/>
  </r>
  <r>
    <d v="2020-05-23T00:00:00"/>
    <x v="14"/>
    <n v="14773.5"/>
    <n v="1241383.5"/>
    <n v="10"/>
    <n v="828"/>
    <n v="734"/>
    <n v="18339579137.25"/>
    <x v="4"/>
  </r>
  <r>
    <d v="2020-05-24T00:00:00"/>
    <x v="14"/>
    <n v="9994.5"/>
    <n v="828984"/>
    <n v="10"/>
    <n v="639"/>
    <n v="557"/>
    <n v="8285280588"/>
    <x v="5"/>
  </r>
  <r>
    <d v="2020-05-25T00:00:00"/>
    <x v="14"/>
    <n v="12280.5"/>
    <n v="1030440"/>
    <n v="10"/>
    <n v="739"/>
    <n v="642"/>
    <n v="12654318420"/>
    <x v="6"/>
  </r>
  <r>
    <d v="2020-05-26T00:00:00"/>
    <x v="14"/>
    <n v="11835"/>
    <n v="983109"/>
    <n v="10"/>
    <n v="692"/>
    <n v="601"/>
    <n v="11635095015"/>
    <x v="0"/>
  </r>
  <r>
    <d v="2020-05-27T00:00:00"/>
    <x v="14"/>
    <n v="12490.5"/>
    <n v="1054798.5"/>
    <n v="10"/>
    <n v="757"/>
    <n v="660"/>
    <n v="13174960664.25"/>
    <x v="1"/>
  </r>
  <r>
    <d v="2020-05-28T00:00:00"/>
    <x v="14"/>
    <n v="13038"/>
    <n v="1114552.5"/>
    <n v="10"/>
    <n v="791"/>
    <n v="697"/>
    <n v="14531535495"/>
    <x v="2"/>
  </r>
  <r>
    <d v="2020-05-29T00:00:00"/>
    <x v="14"/>
    <n v="14823"/>
    <n v="1273464"/>
    <n v="10"/>
    <n v="873"/>
    <n v="770"/>
    <n v="18876556872"/>
    <x v="3"/>
  </r>
  <r>
    <d v="2020-05-30T00:00:00"/>
    <x v="14"/>
    <n v="14728.5"/>
    <n v="1260483"/>
    <n v="10"/>
    <n v="865"/>
    <n v="763"/>
    <n v="18565023865.5"/>
    <x v="4"/>
  </r>
  <r>
    <d v="2020-05-31T00:00:00"/>
    <x v="14"/>
    <n v="12724.5"/>
    <n v="1045515"/>
    <n v="10"/>
    <n v="749"/>
    <n v="655"/>
    <n v="13303655617.5"/>
    <x v="5"/>
  </r>
  <r>
    <d v="2020-06-01T00:00:00"/>
    <x v="14"/>
    <n v="11416.5"/>
    <n v="1007742"/>
    <n v="10"/>
    <n v="719"/>
    <n v="627"/>
    <n v="11504886543"/>
    <x v="6"/>
  </r>
  <r>
    <d v="2020-05-31T00:00:00"/>
    <x v="15"/>
    <n v="6409.5"/>
    <n v="493893"/>
    <n v="9"/>
    <n v="345"/>
    <n v="255"/>
    <n v="3165607183.5"/>
    <x v="5"/>
  </r>
  <r>
    <d v="2020-06-01T00:00:00"/>
    <x v="15"/>
    <n v="5166"/>
    <n v="389013"/>
    <n v="9"/>
    <n v="294"/>
    <n v="224"/>
    <n v="2009641158"/>
    <x v="6"/>
  </r>
  <r>
    <d v="2020-05-26T00:00:00"/>
    <x v="16"/>
    <n v="10437"/>
    <n v="833815.5"/>
    <n v="7"/>
    <n v="577"/>
    <n v="389"/>
    <n v="8702532373.5"/>
    <x v="0"/>
  </r>
  <r>
    <d v="2020-05-27T00:00:00"/>
    <x v="16"/>
    <n v="8362.5"/>
    <n v="687684"/>
    <n v="7"/>
    <n v="409"/>
    <n v="329"/>
    <n v="5750757450"/>
    <x v="1"/>
  </r>
  <r>
    <d v="2020-05-28T00:00:00"/>
    <x v="16"/>
    <n v="8428.5"/>
    <n v="694669.5"/>
    <n v="7"/>
    <n v="420"/>
    <n v="347"/>
    <n v="5855021880.75"/>
    <x v="2"/>
  </r>
  <r>
    <d v="2020-05-29T00:00:00"/>
    <x v="16"/>
    <n v="9927"/>
    <n v="850840.5"/>
    <n v="7"/>
    <n v="491"/>
    <n v="411"/>
    <n v="8446293643.5"/>
    <x v="3"/>
  </r>
  <r>
    <d v="2020-05-30T00:00:00"/>
    <x v="16"/>
    <n v="11220"/>
    <n v="928675.5"/>
    <n v="7"/>
    <n v="532"/>
    <n v="449"/>
    <n v="10419739110"/>
    <x v="4"/>
  </r>
  <r>
    <d v="2020-05-31T00:00:00"/>
    <x v="16"/>
    <n v="10416"/>
    <n v="866023.5"/>
    <n v="7"/>
    <n v="530"/>
    <n v="447"/>
    <n v="9020500776"/>
    <x v="5"/>
  </r>
  <r>
    <d v="2020-06-01T00:00:00"/>
    <x v="16"/>
    <n v="9474"/>
    <n v="802447.5"/>
    <n v="7"/>
    <n v="500"/>
    <n v="418"/>
    <n v="7602387615"/>
    <x v="6"/>
  </r>
  <r>
    <d v="2020-05-31T00:00:00"/>
    <x v="17"/>
    <n v="5127"/>
    <n v="468835.5"/>
    <n v="6"/>
    <n v="261"/>
    <n v="188"/>
    <n v="2403719608.5"/>
    <x v="5"/>
  </r>
  <r>
    <d v="2020-06-01T00:00:00"/>
    <x v="17"/>
    <n v="4408.5"/>
    <n v="410892"/>
    <n v="6"/>
    <n v="237"/>
    <n v="175"/>
    <n v="1811417382"/>
    <x v="6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  <r>
    <m/>
    <x v="18"/>
    <m/>
    <m/>
    <m/>
    <m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73147E-BCC1-475F-91AF-CC06DC2EBFEF}" name="Сводная таблица2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rowHeaderCaption="Территория" colHeaderCaption="Дни недели">
  <location ref="A3:I23" firstHeaderRow="1" firstDataRow="2" firstDataCol="1" rowPageCount="1" colPageCount="1"/>
  <pivotFields count="11">
    <pivotField axis="axisPage" multipleItemSelectionAllowed="1" showAll="0">
      <items count="3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x="28"/>
        <item x="29"/>
        <item x="30"/>
        <item x="31"/>
        <item x="32"/>
        <item x="33"/>
        <item x="34"/>
        <item t="default"/>
      </items>
    </pivotField>
    <pivotField axis="axisRow" showAll="0" sortType="descending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>
      <items count="505">
        <item x="350"/>
        <item x="503"/>
        <item x="352"/>
        <item x="494"/>
        <item x="502"/>
        <item x="351"/>
        <item x="493"/>
        <item x="354"/>
        <item x="462"/>
        <item x="386"/>
        <item x="387"/>
        <item x="463"/>
        <item x="353"/>
        <item x="384"/>
        <item x="383"/>
        <item x="355"/>
        <item x="496"/>
        <item x="497"/>
        <item x="356"/>
        <item x="460"/>
        <item x="466"/>
        <item x="471"/>
        <item x="464"/>
        <item x="357"/>
        <item x="472"/>
        <item x="358"/>
        <item x="501"/>
        <item x="385"/>
        <item x="465"/>
        <item x="284"/>
        <item x="285"/>
        <item x="484"/>
        <item x="498"/>
        <item x="459"/>
        <item x="495"/>
        <item x="477"/>
        <item x="500"/>
        <item x="467"/>
        <item x="293"/>
        <item x="473"/>
        <item x="363"/>
        <item x="286"/>
        <item x="461"/>
        <item x="499"/>
        <item x="481"/>
        <item x="458"/>
        <item x="364"/>
        <item x="479"/>
        <item x="478"/>
        <item x="362"/>
        <item x="291"/>
        <item x="289"/>
        <item x="492"/>
        <item x="486"/>
        <item x="474"/>
        <item x="468"/>
        <item x="281"/>
        <item x="282"/>
        <item x="280"/>
        <item x="485"/>
        <item x="288"/>
        <item x="367"/>
        <item x="319"/>
        <item x="470"/>
        <item x="359"/>
        <item x="487"/>
        <item x="491"/>
        <item x="321"/>
        <item x="371"/>
        <item x="328"/>
        <item x="480"/>
        <item x="290"/>
        <item x="361"/>
        <item x="365"/>
        <item x="469"/>
        <item x="368"/>
        <item x="370"/>
        <item x="317"/>
        <item x="376"/>
        <item x="324"/>
        <item x="329"/>
        <item x="320"/>
        <item x="316"/>
        <item x="488"/>
        <item x="315"/>
        <item x="294"/>
        <item x="297"/>
        <item x="374"/>
        <item x="283"/>
        <item x="299"/>
        <item x="296"/>
        <item x="366"/>
        <item x="287"/>
        <item x="377"/>
        <item x="360"/>
        <item x="476"/>
        <item x="301"/>
        <item x="375"/>
        <item x="475"/>
        <item x="303"/>
        <item x="326"/>
        <item x="323"/>
        <item x="295"/>
        <item x="378"/>
        <item x="308"/>
        <item x="331"/>
        <item x="292"/>
        <item x="330"/>
        <item x="335"/>
        <item x="300"/>
        <item x="302"/>
        <item x="483"/>
        <item x="325"/>
        <item x="314"/>
        <item x="490"/>
        <item x="373"/>
        <item x="489"/>
        <item x="381"/>
        <item x="309"/>
        <item x="307"/>
        <item x="334"/>
        <item x="298"/>
        <item x="310"/>
        <item x="322"/>
        <item x="372"/>
        <item x="332"/>
        <item x="336"/>
        <item x="369"/>
        <item x="338"/>
        <item x="313"/>
        <item x="304"/>
        <item x="306"/>
        <item x="327"/>
        <item x="311"/>
        <item x="345"/>
        <item x="337"/>
        <item x="318"/>
        <item x="349"/>
        <item x="382"/>
        <item x="343"/>
        <item x="342"/>
        <item x="305"/>
        <item x="482"/>
        <item x="379"/>
        <item x="341"/>
        <item x="348"/>
        <item x="380"/>
        <item x="344"/>
        <item x="333"/>
        <item x="144"/>
        <item x="346"/>
        <item x="249"/>
        <item x="312"/>
        <item x="339"/>
        <item x="145"/>
        <item x="340"/>
        <item x="252"/>
        <item x="245"/>
        <item x="146"/>
        <item x="250"/>
        <item x="153"/>
        <item x="148"/>
        <item x="247"/>
        <item x="253"/>
        <item x="163"/>
        <item x="150"/>
        <item x="156"/>
        <item x="154"/>
        <item x="140"/>
        <item x="255"/>
        <item x="155"/>
        <item x="254"/>
        <item x="149"/>
        <item x="111"/>
        <item x="141"/>
        <item x="248"/>
        <item x="259"/>
        <item x="246"/>
        <item x="151"/>
        <item x="147"/>
        <item x="260"/>
        <item x="160"/>
        <item x="110"/>
        <item x="105"/>
        <item x="74"/>
        <item x="168"/>
        <item x="251"/>
        <item x="114"/>
        <item x="261"/>
        <item x="347"/>
        <item x="118"/>
        <item x="159"/>
        <item x="169"/>
        <item x="161"/>
        <item x="174"/>
        <item x="142"/>
        <item x="167"/>
        <item x="170"/>
        <item x="157"/>
        <item x="162"/>
        <item x="119"/>
        <item x="265"/>
        <item x="166"/>
        <item x="71"/>
        <item x="120"/>
        <item x="106"/>
        <item x="115"/>
        <item x="77"/>
        <item x="164"/>
        <item x="109"/>
        <item x="121"/>
        <item x="267"/>
        <item x="75"/>
        <item x="264"/>
        <item x="78"/>
        <item x="107"/>
        <item x="128"/>
        <item x="152"/>
        <item x="76"/>
        <item x="135"/>
        <item x="173"/>
        <item x="272"/>
        <item x="116"/>
        <item x="126"/>
        <item x="125"/>
        <item x="72"/>
        <item x="257"/>
        <item x="268"/>
        <item x="273"/>
        <item x="274"/>
        <item x="112"/>
        <item x="70"/>
        <item x="124"/>
        <item x="271"/>
        <item x="266"/>
        <item x="256"/>
        <item x="171"/>
        <item x="139"/>
        <item x="113"/>
        <item x="275"/>
        <item x="79"/>
        <item x="278"/>
        <item x="262"/>
        <item x="279"/>
        <item x="108"/>
        <item x="134"/>
        <item x="133"/>
        <item x="81"/>
        <item x="127"/>
        <item x="84"/>
        <item x="131"/>
        <item x="83"/>
        <item x="158"/>
        <item x="122"/>
        <item x="172"/>
        <item x="86"/>
        <item x="80"/>
        <item x="89"/>
        <item x="129"/>
        <item x="143"/>
        <item x="132"/>
        <item x="136"/>
        <item x="165"/>
        <item x="263"/>
        <item x="276"/>
        <item x="85"/>
        <item x="117"/>
        <item x="90"/>
        <item x="138"/>
        <item x="270"/>
        <item x="269"/>
        <item x="96"/>
        <item x="123"/>
        <item x="82"/>
        <item x="91"/>
        <item x="97"/>
        <item x="277"/>
        <item x="98"/>
        <item x="99"/>
        <item x="130"/>
        <item x="93"/>
        <item x="104"/>
        <item x="87"/>
        <item x="100"/>
        <item x="92"/>
        <item x="258"/>
        <item x="95"/>
        <item x="103"/>
        <item x="137"/>
        <item x="88"/>
        <item x="101"/>
        <item x="4"/>
        <item x="73"/>
        <item x="102"/>
        <item x="94"/>
        <item x="13"/>
        <item x="10"/>
        <item x="39"/>
        <item x="16"/>
        <item x="8"/>
        <item x="14"/>
        <item x="6"/>
        <item x="34"/>
        <item x="27"/>
        <item x="7"/>
        <item x="28"/>
        <item x="20"/>
        <item x="29"/>
        <item x="43"/>
        <item x="51"/>
        <item x="30"/>
        <item x="23"/>
        <item x="19"/>
        <item x="46"/>
        <item x="45"/>
        <item x="9"/>
        <item x="5"/>
        <item x="24"/>
        <item x="26"/>
        <item x="49"/>
        <item x="0"/>
        <item x="48"/>
        <item x="15"/>
        <item x="21"/>
        <item x="17"/>
        <item x="1"/>
        <item x="44"/>
        <item x="41"/>
        <item x="61"/>
        <item x="33"/>
        <item x="62"/>
        <item x="55"/>
        <item x="65"/>
        <item x="64"/>
        <item x="58"/>
        <item x="69"/>
        <item x="54"/>
        <item x="42"/>
        <item x="2"/>
        <item x="63"/>
        <item x="18"/>
        <item x="40"/>
        <item x="52"/>
        <item x="37"/>
        <item x="50"/>
        <item x="36"/>
        <item x="56"/>
        <item x="3"/>
        <item x="35"/>
        <item x="11"/>
        <item x="31"/>
        <item x="47"/>
        <item x="25"/>
        <item x="66"/>
        <item x="53"/>
        <item x="68"/>
        <item x="57"/>
        <item x="12"/>
        <item x="22"/>
        <item x="59"/>
        <item x="60"/>
        <item x="38"/>
        <item x="32"/>
        <item x="67"/>
        <item x="188"/>
        <item x="223"/>
        <item x="186"/>
        <item x="179"/>
        <item x="194"/>
        <item x="209"/>
        <item x="191"/>
        <item x="190"/>
        <item x="189"/>
        <item x="221"/>
        <item x="214"/>
        <item x="244"/>
        <item x="201"/>
        <item x="224"/>
        <item x="205"/>
        <item x="225"/>
        <item x="229"/>
        <item x="202"/>
        <item x="195"/>
        <item x="175"/>
        <item x="226"/>
        <item x="236"/>
        <item x="237"/>
        <item x="240"/>
        <item x="230"/>
        <item x="176"/>
        <item x="182"/>
        <item x="204"/>
        <item x="208"/>
        <item x="210"/>
        <item x="196"/>
        <item x="199"/>
        <item x="177"/>
        <item x="184"/>
        <item x="198"/>
        <item x="211"/>
        <item x="197"/>
        <item x="243"/>
        <item x="217"/>
        <item x="183"/>
        <item x="192"/>
        <item x="239"/>
        <item x="232"/>
        <item x="212"/>
        <item x="231"/>
        <item x="219"/>
        <item x="233"/>
        <item x="193"/>
        <item x="206"/>
        <item x="181"/>
        <item x="234"/>
        <item x="185"/>
        <item x="218"/>
        <item x="227"/>
        <item x="241"/>
        <item x="178"/>
        <item x="187"/>
        <item x="203"/>
        <item x="220"/>
        <item x="228"/>
        <item x="427"/>
        <item x="216"/>
        <item x="436"/>
        <item x="207"/>
        <item x="242"/>
        <item x="222"/>
        <item x="213"/>
        <item x="238"/>
        <item x="432"/>
        <item x="180"/>
        <item x="215"/>
        <item x="438"/>
        <item x="430"/>
        <item x="442"/>
        <item x="450"/>
        <item x="200"/>
        <item x="444"/>
        <item x="443"/>
        <item x="457"/>
        <item x="451"/>
        <item x="439"/>
        <item x="428"/>
        <item x="453"/>
        <item x="431"/>
        <item x="446"/>
        <item x="449"/>
        <item x="437"/>
        <item x="429"/>
        <item x="423"/>
        <item x="235"/>
        <item x="452"/>
        <item x="435"/>
        <item x="434"/>
        <item x="456"/>
        <item x="445"/>
        <item x="447"/>
        <item x="426"/>
        <item x="424"/>
        <item x="392"/>
        <item x="425"/>
        <item x="440"/>
        <item x="441"/>
        <item x="401"/>
        <item x="397"/>
        <item x="395"/>
        <item x="448"/>
        <item x="393"/>
        <item x="415"/>
        <item x="403"/>
        <item x="422"/>
        <item x="455"/>
        <item x="408"/>
        <item x="407"/>
        <item x="409"/>
        <item x="396"/>
        <item x="404"/>
        <item x="394"/>
        <item x="418"/>
        <item x="399"/>
        <item x="433"/>
        <item x="416"/>
        <item x="411"/>
        <item x="414"/>
        <item x="400"/>
        <item x="417"/>
        <item x="402"/>
        <item x="391"/>
        <item x="421"/>
        <item x="388"/>
        <item x="410"/>
        <item x="412"/>
        <item x="389"/>
        <item x="405"/>
        <item x="390"/>
        <item x="406"/>
        <item x="454"/>
        <item x="420"/>
        <item x="413"/>
        <item x="398"/>
        <item x="419"/>
        <item t="default"/>
      </items>
    </pivotField>
    <pivotField axis="axisCol" showAll="0">
      <items count="8">
        <item x="6"/>
        <item x="0"/>
        <item x="1"/>
        <item x="2"/>
        <item x="3"/>
        <item x="4"/>
        <item x="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9">
    <i>
      <x v="12"/>
    </i>
    <i>
      <x v="13"/>
    </i>
    <i>
      <x v="6"/>
    </i>
    <i>
      <x v="5"/>
    </i>
    <i>
      <x v="1"/>
    </i>
    <i>
      <x/>
    </i>
    <i>
      <x v="2"/>
    </i>
    <i>
      <x v="3"/>
    </i>
    <i>
      <x v="7"/>
    </i>
    <i>
      <x v="4"/>
    </i>
    <i>
      <x v="9"/>
    </i>
    <i>
      <x v="8"/>
    </i>
    <i>
      <x v="10"/>
    </i>
    <i>
      <x v="14"/>
    </i>
    <i>
      <x v="16"/>
    </i>
    <i>
      <x v="11"/>
    </i>
    <i>
      <x v="15"/>
    </i>
    <i>
      <x v="17"/>
    </i>
    <i t="grand">
      <x/>
    </i>
  </rowItems>
  <colFields count="1">
    <field x="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0" hier="-1"/>
  </pageFields>
  <dataFields count="1">
    <dataField name="Товарооборот " fld="7" baseField="0" baseItem="0" numFmtId="43"/>
  </dataFields>
  <formats count="1">
    <format dxfId="4">
      <pivotArea outline="0" collapsedLevelsAreSubtotals="1" fieldPosition="0"/>
    </format>
  </formats>
  <conditionalFormats count="1">
    <conditionalFormat type="all"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A500E3-B0AA-4E3F-8622-F6B740C3BF24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7" rowHeaderCaption="Территория" colHeaderCaption="Дни недели">
  <location ref="A3:I23" firstHeaderRow="1" firstDataRow="2" firstDataCol="1"/>
  <pivotFields count="11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 sortType="descending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axis="axisCol" showAll="0">
      <items count="8">
        <item x="6"/>
        <item x="0"/>
        <item x="1"/>
        <item x="2"/>
        <item x="3"/>
        <item x="4"/>
        <item x="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9">
    <i>
      <x v="12"/>
    </i>
    <i>
      <x v="13"/>
    </i>
    <i>
      <x v="6"/>
    </i>
    <i>
      <x v="5"/>
    </i>
    <i>
      <x v="1"/>
    </i>
    <i>
      <x/>
    </i>
    <i>
      <x v="2"/>
    </i>
    <i>
      <x v="3"/>
    </i>
    <i>
      <x v="7"/>
    </i>
    <i>
      <x v="4"/>
    </i>
    <i>
      <x v="9"/>
    </i>
    <i>
      <x v="8"/>
    </i>
    <i>
      <x v="10"/>
    </i>
    <i>
      <x v="14"/>
    </i>
    <i>
      <x v="16"/>
    </i>
    <i>
      <x v="11"/>
    </i>
    <i>
      <x v="15"/>
    </i>
    <i>
      <x v="17"/>
    </i>
    <i t="grand">
      <x/>
    </i>
  </rowItems>
  <colFields count="1">
    <field x="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Товарообороты" fld="7" baseField="0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7">
    <format dxfId="11">
      <pivotArea field="1" type="button" dataOnly="0" labelOnly="1" outline="0" axis="axisRow" fieldPosition="0"/>
    </format>
    <format dxfId="10">
      <pivotArea dataOnly="0" labelOnly="1" fieldPosition="0">
        <references count="1">
          <reference field="8" count="0"/>
        </references>
      </pivotArea>
    </format>
    <format dxfId="9">
      <pivotArea dataOnly="0" labelOnly="1" grandCol="1" outline="0" fieldPosition="0"/>
    </format>
    <format dxfId="8">
      <pivotArea field="1" type="button" dataOnly="0" labelOnly="1" outline="0" axis="axisRow" fieldPosition="0"/>
    </format>
    <format dxfId="7">
      <pivotArea dataOnly="0" labelOnly="1" fieldPosition="0">
        <references count="1">
          <reference field="8" count="0"/>
        </references>
      </pivotArea>
    </format>
    <format dxfId="6">
      <pivotArea dataOnly="0" labelOnly="1" grandCol="1" outline="0" fieldPosition="0"/>
    </format>
    <format dxfId="5">
      <pivotArea outline="0" collapsedLevelsAreSubtotals="1" fieldPosition="0"/>
    </format>
  </formats>
  <conditionalFormats count="1">
    <conditionalFormat type="all"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365C44-C981-43D4-9F9E-F523885E456D}" name="Сводная таблица99" cacheId="13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">
  <location ref="A3:B22" firstHeaderRow="1" firstDataRow="1" firstDataCol="1" rowPageCount="1" colPageCount="1"/>
  <pivotFields count="9">
    <pivotField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Page" showAll="0">
      <items count="9">
        <item x="6"/>
        <item x="0"/>
        <item x="1"/>
        <item x="2"/>
        <item x="3"/>
        <item x="4"/>
        <item x="5"/>
        <item x="7"/>
        <item t="default"/>
      </items>
    </pivotField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8" item="0" hier="-1"/>
  </pageFields>
  <dataFields count="1">
    <dataField name="Сумма по полю Товарооборот, руб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CDE4BD-BEFC-47EC-B491-8D2635605474}" name="Сводная таблица100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>
  <location ref="A3:B22" firstHeaderRow="1" firstDataRow="1" firstDataCol="1"/>
  <pivotFields count="11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 sortType="ascending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9">
    <i>
      <x v="17"/>
    </i>
    <i>
      <x v="15"/>
    </i>
    <i>
      <x v="11"/>
    </i>
    <i>
      <x v="16"/>
    </i>
    <i>
      <x v="14"/>
    </i>
    <i>
      <x v="10"/>
    </i>
    <i>
      <x v="8"/>
    </i>
    <i>
      <x v="9"/>
    </i>
    <i>
      <x v="4"/>
    </i>
    <i>
      <x v="7"/>
    </i>
    <i>
      <x v="3"/>
    </i>
    <i>
      <x v="2"/>
    </i>
    <i>
      <x/>
    </i>
    <i>
      <x v="1"/>
    </i>
    <i>
      <x v="5"/>
    </i>
    <i>
      <x v="6"/>
    </i>
    <i>
      <x v="13"/>
    </i>
    <i>
      <x v="12"/>
    </i>
    <i t="grand">
      <x/>
    </i>
  </rowItems>
  <colItems count="1">
    <i/>
  </colItems>
  <dataFields count="1">
    <dataField name="Сумма по полю Товарооборот на склад" fld="7" baseField="0" baseItem="0" numFmtId="43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X1000"/>
  <sheetViews>
    <sheetView tabSelected="1" workbookViewId="0">
      <pane xSplit="4" ySplit="1" topLeftCell="E476" activePane="bottomRight" state="frozen"/>
      <selection pane="topRight" activeCell="E1" sqref="E1"/>
      <selection pane="bottomLeft" activeCell="A2" sqref="A2"/>
      <selection pane="bottomRight" activeCell="E497" sqref="E497"/>
    </sheetView>
  </sheetViews>
  <sheetFormatPr defaultColWidth="14.44140625" defaultRowHeight="15" customHeight="1" x14ac:dyDescent="0.3"/>
  <cols>
    <col min="1" max="1" width="10.44140625" customWidth="1"/>
    <col min="2" max="2" width="21.6640625" customWidth="1"/>
    <col min="3" max="3" width="22" style="18" customWidth="1"/>
    <col min="4" max="4" width="20.33203125" style="18" customWidth="1"/>
    <col min="5" max="7" width="22" customWidth="1"/>
    <col min="8" max="8" width="23.44140625" customWidth="1"/>
    <col min="9" max="9" width="12.33203125" bestFit="1" customWidth="1"/>
    <col min="10" max="24" width="8.6640625" customWidth="1"/>
  </cols>
  <sheetData>
    <row r="1" spans="1:24" ht="14.25" customHeight="1" x14ac:dyDescent="0.3">
      <c r="A1" s="1" t="s">
        <v>0</v>
      </c>
      <c r="B1" s="2" t="s">
        <v>1</v>
      </c>
      <c r="C1" s="19" t="s">
        <v>2</v>
      </c>
      <c r="D1" s="19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4.25" customHeight="1" x14ac:dyDescent="0.3">
      <c r="A2" s="14">
        <v>43949</v>
      </c>
      <c r="B2" s="16" t="s">
        <v>16</v>
      </c>
      <c r="C2" s="20">
        <v>73147.5</v>
      </c>
      <c r="D2" s="20">
        <v>6288246</v>
      </c>
      <c r="E2" s="7">
        <f>SUMIFS(Лист2!C:C,Лист2!B:B,'общая таблица'!B2,Лист2!A:A,'общая таблица'!A2)</f>
        <v>36</v>
      </c>
      <c r="F2" s="7">
        <f>SUMIFS(Лист2!D:D,Лист2!B:B,'общая таблица'!B2,Лист2!A:A,'общая таблица'!A2)</f>
        <v>4923</v>
      </c>
      <c r="G2" s="7">
        <f>SUMIFS(Лист2!E:E,Лист2!B:B,'общая таблица'!B2,Лист2!A:A,'общая таблица'!A2)</f>
        <v>4560</v>
      </c>
      <c r="H2" s="18">
        <f>C2*D2</f>
        <v>459969474285</v>
      </c>
      <c r="I2" t="str">
        <f>TEXT(A2,"дддд")</f>
        <v>вторник</v>
      </c>
    </row>
    <row r="3" spans="1:24" ht="14.25" customHeight="1" x14ac:dyDescent="0.3">
      <c r="A3" s="8">
        <v>43950</v>
      </c>
      <c r="B3" s="9" t="s">
        <v>16</v>
      </c>
      <c r="C3" s="21">
        <v>74707.5</v>
      </c>
      <c r="D3" s="21">
        <v>6454458</v>
      </c>
      <c r="E3" s="7">
        <f>SUMIFS(Лист2!C:C,Лист2!B:B,'общая таблица'!B3,Лист2!A:A,'общая таблица'!A3)</f>
        <v>36</v>
      </c>
      <c r="F3" s="7">
        <f>SUMIFS(Лист2!D:D,Лист2!B:B,'общая таблица'!B3,Лист2!A:A,'общая таблица'!A3)</f>
        <v>4937</v>
      </c>
      <c r="G3" s="7">
        <f>SUMIFS(Лист2!E:E,Лист2!B:B,'общая таблица'!B3,Лист2!A:A,'общая таблица'!A3)</f>
        <v>4561</v>
      </c>
      <c r="H3" s="18">
        <f t="shared" ref="H3:H66" si="0">C3*D3</f>
        <v>482196421035</v>
      </c>
      <c r="I3" t="str">
        <f t="shared" ref="I3:I66" si="1">TEXT(A3,"дддд")</f>
        <v>среда</v>
      </c>
    </row>
    <row r="4" spans="1:24" ht="14.25" customHeight="1" x14ac:dyDescent="0.3">
      <c r="A4" s="5">
        <v>43951</v>
      </c>
      <c r="B4" s="6" t="s">
        <v>16</v>
      </c>
      <c r="C4" s="22">
        <v>78235.5</v>
      </c>
      <c r="D4" s="22">
        <v>6819594</v>
      </c>
      <c r="E4" s="7">
        <f>SUMIFS(Лист2!C:C,Лист2!B:B,'общая таблица'!B4,Лист2!A:A,'общая таблица'!A4)</f>
        <v>36</v>
      </c>
      <c r="F4" s="7">
        <f>SUMIFS(Лист2!D:D,Лист2!B:B,'общая таблица'!B4,Лист2!A:A,'общая таблица'!A4)</f>
        <v>5143</v>
      </c>
      <c r="G4" s="7">
        <f>SUMIFS(Лист2!E:E,Лист2!B:B,'общая таблица'!B4,Лист2!A:A,'общая таблица'!A4)</f>
        <v>4715</v>
      </c>
      <c r="H4" s="18">
        <f t="shared" si="0"/>
        <v>533534346387</v>
      </c>
      <c r="I4" t="str">
        <f t="shared" si="1"/>
        <v>четверг</v>
      </c>
    </row>
    <row r="5" spans="1:24" ht="14.25" customHeight="1" x14ac:dyDescent="0.3">
      <c r="A5" s="15">
        <v>43952</v>
      </c>
      <c r="B5" s="17" t="s">
        <v>16</v>
      </c>
      <c r="C5" s="23">
        <v>82228.5</v>
      </c>
      <c r="D5" s="23">
        <v>7032225</v>
      </c>
      <c r="E5" s="7">
        <f>SUMIFS(Лист2!C:C,Лист2!B:B,'общая таблица'!B5,Лист2!A:A,'общая таблица'!A5)</f>
        <v>36</v>
      </c>
      <c r="F5" s="7">
        <f>SUMIFS(Лист2!D:D,Лист2!B:B,'общая таблица'!B5,Лист2!A:A,'общая таблица'!A5)</f>
        <v>5457</v>
      </c>
      <c r="G5" s="7">
        <f>SUMIFS(Лист2!E:E,Лист2!B:B,'общая таблица'!B5,Лист2!A:A,'общая таблица'!A5)</f>
        <v>4916</v>
      </c>
      <c r="H5" s="18">
        <f t="shared" si="0"/>
        <v>578249313412.5</v>
      </c>
      <c r="I5" t="str">
        <f t="shared" si="1"/>
        <v>пятница</v>
      </c>
    </row>
    <row r="6" spans="1:24" ht="14.25" customHeight="1" x14ac:dyDescent="0.3">
      <c r="A6" s="5">
        <v>43953</v>
      </c>
      <c r="B6" s="6" t="s">
        <v>16</v>
      </c>
      <c r="C6" s="22">
        <v>46216.5</v>
      </c>
      <c r="D6" s="22">
        <v>4118251.5</v>
      </c>
      <c r="E6" s="7">
        <f>SUMIFS(Лист2!C:C,Лист2!B:B,'общая таблица'!B6,Лист2!A:A,'общая таблица'!A6)</f>
        <v>36</v>
      </c>
      <c r="F6" s="7">
        <f>SUMIFS(Лист2!D:D,Лист2!B:B,'общая таблица'!B6,Лист2!A:A,'общая таблица'!A6)</f>
        <v>3442</v>
      </c>
      <c r="G6" s="7">
        <f>SUMIFS(Лист2!E:E,Лист2!B:B,'общая таблица'!B6,Лист2!A:A,'общая таблица'!A6)</f>
        <v>3147</v>
      </c>
      <c r="H6" s="18">
        <f t="shared" si="0"/>
        <v>190331170449.75</v>
      </c>
      <c r="I6" t="str">
        <f t="shared" si="1"/>
        <v>суббота</v>
      </c>
    </row>
    <row r="7" spans="1:24" ht="14.25" customHeight="1" x14ac:dyDescent="0.3">
      <c r="A7" s="15">
        <v>43954</v>
      </c>
      <c r="B7" s="17" t="s">
        <v>16</v>
      </c>
      <c r="C7" s="23">
        <v>70581</v>
      </c>
      <c r="D7" s="23">
        <v>6221320.5</v>
      </c>
      <c r="E7" s="7">
        <f>SUMIFS(Лист2!C:C,Лист2!B:B,'общая таблица'!B7,Лист2!A:A,'общая таблица'!A7)</f>
        <v>36</v>
      </c>
      <c r="F7" s="7">
        <f>SUMIFS(Лист2!D:D,Лист2!B:B,'общая таблица'!B7,Лист2!A:A,'общая таблица'!A7)</f>
        <v>4751</v>
      </c>
      <c r="G7" s="7">
        <f>SUMIFS(Лист2!E:E,Лист2!B:B,'общая таблица'!B7,Лист2!A:A,'общая таблица'!A7)</f>
        <v>4370</v>
      </c>
      <c r="H7" s="18">
        <f t="shared" si="0"/>
        <v>439107022210.5</v>
      </c>
      <c r="I7" t="str">
        <f t="shared" si="1"/>
        <v>воскресенье</v>
      </c>
    </row>
    <row r="8" spans="1:24" ht="14.25" customHeight="1" x14ac:dyDescent="0.3">
      <c r="A8" s="5">
        <v>43955</v>
      </c>
      <c r="B8" s="6" t="s">
        <v>16</v>
      </c>
      <c r="C8" s="22">
        <v>64108.5</v>
      </c>
      <c r="D8" s="22">
        <v>5561452.5</v>
      </c>
      <c r="E8" s="7">
        <f>SUMIFS(Лист2!C:C,Лист2!B:B,'общая таблица'!B8,Лист2!A:A,'общая таблица'!A8)</f>
        <v>36</v>
      </c>
      <c r="F8" s="7">
        <f>SUMIFS(Лист2!D:D,Лист2!B:B,'общая таблица'!B8,Лист2!A:A,'общая таблица'!A8)</f>
        <v>4508</v>
      </c>
      <c r="G8" s="7">
        <f>SUMIFS(Лист2!E:E,Лист2!B:B,'общая таблица'!B8,Лист2!A:A,'общая таблица'!A8)</f>
        <v>4149</v>
      </c>
      <c r="H8" s="18">
        <f t="shared" si="0"/>
        <v>356536377596.25</v>
      </c>
      <c r="I8" t="str">
        <f t="shared" si="1"/>
        <v>понедельник</v>
      </c>
    </row>
    <row r="9" spans="1:24" ht="14.25" customHeight="1" x14ac:dyDescent="0.3">
      <c r="A9" s="15">
        <v>43956</v>
      </c>
      <c r="B9" s="17" t="s">
        <v>16</v>
      </c>
      <c r="C9" s="23">
        <v>66396</v>
      </c>
      <c r="D9" s="23">
        <v>5770539</v>
      </c>
      <c r="E9" s="7">
        <f>SUMIFS(Лист2!C:C,Лист2!B:B,'общая таблица'!B9,Лист2!A:A,'общая таблица'!A9)</f>
        <v>36</v>
      </c>
      <c r="F9" s="7">
        <f>SUMIFS(Лист2!D:D,Лист2!B:B,'общая таблица'!B9,Лист2!A:A,'общая таблица'!A9)</f>
        <v>4575</v>
      </c>
      <c r="G9" s="7">
        <f>SUMIFS(Лист2!E:E,Лист2!B:B,'общая таблица'!B9,Лист2!A:A,'общая таблица'!A9)</f>
        <v>4206</v>
      </c>
      <c r="H9" s="18">
        <f t="shared" si="0"/>
        <v>383140707444</v>
      </c>
      <c r="I9" t="str">
        <f t="shared" si="1"/>
        <v>вторник</v>
      </c>
    </row>
    <row r="10" spans="1:24" ht="14.25" customHeight="1" x14ac:dyDescent="0.3">
      <c r="A10" s="5">
        <v>43957</v>
      </c>
      <c r="B10" s="6" t="s">
        <v>16</v>
      </c>
      <c r="C10" s="22">
        <v>63012</v>
      </c>
      <c r="D10" s="22">
        <v>5454121.5</v>
      </c>
      <c r="E10" s="7">
        <f>SUMIFS(Лист2!C:C,Лист2!B:B,'общая таблица'!B10,Лист2!A:A,'общая таблица'!A10)</f>
        <v>36</v>
      </c>
      <c r="F10" s="7">
        <f>SUMIFS(Лист2!D:D,Лист2!B:B,'общая таблица'!B10,Лист2!A:A,'общая таблица'!A10)</f>
        <v>4384</v>
      </c>
      <c r="G10" s="7">
        <f>SUMIFS(Лист2!E:E,Лист2!B:B,'общая таблица'!B10,Лист2!A:A,'общая таблица'!A10)</f>
        <v>4025</v>
      </c>
      <c r="H10" s="18">
        <f t="shared" si="0"/>
        <v>343675103958</v>
      </c>
      <c r="I10" t="str">
        <f t="shared" si="1"/>
        <v>среда</v>
      </c>
    </row>
    <row r="11" spans="1:24" ht="14.25" customHeight="1" x14ac:dyDescent="0.3">
      <c r="A11" s="8">
        <v>43958</v>
      </c>
      <c r="B11" s="9" t="s">
        <v>16</v>
      </c>
      <c r="C11" s="21">
        <v>71067</v>
      </c>
      <c r="D11" s="21">
        <v>6175837.5</v>
      </c>
      <c r="E11" s="7">
        <f>SUMIFS(Лист2!C:C,Лист2!B:B,'общая таблица'!B11,Лист2!A:A,'общая таблица'!A11)</f>
        <v>36</v>
      </c>
      <c r="F11" s="7">
        <f>SUMIFS(Лист2!D:D,Лист2!B:B,'общая таблица'!B11,Лист2!A:A,'общая таблица'!A11)</f>
        <v>4826</v>
      </c>
      <c r="G11" s="7">
        <f>SUMIFS(Лист2!E:E,Лист2!B:B,'общая таблица'!B11,Лист2!A:A,'общая таблица'!A11)</f>
        <v>4426</v>
      </c>
      <c r="H11" s="18">
        <f t="shared" si="0"/>
        <v>438898243612.5</v>
      </c>
      <c r="I11" t="str">
        <f t="shared" si="1"/>
        <v>четверг</v>
      </c>
    </row>
    <row r="12" spans="1:24" ht="14.25" customHeight="1" x14ac:dyDescent="0.3">
      <c r="A12" s="5">
        <v>43959</v>
      </c>
      <c r="B12" s="6" t="s">
        <v>16</v>
      </c>
      <c r="C12" s="22">
        <v>61804.5</v>
      </c>
      <c r="D12" s="22">
        <v>5365708.5</v>
      </c>
      <c r="E12" s="7">
        <f>SUMIFS(Лист2!C:C,Лист2!B:B,'общая таблица'!B12,Лист2!A:A,'общая таблица'!A12)</f>
        <v>36</v>
      </c>
      <c r="F12" s="7">
        <f>SUMIFS(Лист2!D:D,Лист2!B:B,'общая таблица'!B12,Лист2!A:A,'общая таблица'!A12)</f>
        <v>4199</v>
      </c>
      <c r="G12" s="7">
        <f>SUMIFS(Лист2!E:E,Лист2!B:B,'общая таблица'!B12,Лист2!A:A,'общая таблица'!A12)</f>
        <v>3867</v>
      </c>
      <c r="H12" s="18">
        <f t="shared" si="0"/>
        <v>331624930988.25</v>
      </c>
      <c r="I12" t="str">
        <f t="shared" si="1"/>
        <v>пятница</v>
      </c>
    </row>
    <row r="13" spans="1:24" ht="14.25" customHeight="1" x14ac:dyDescent="0.3">
      <c r="A13" s="8">
        <v>43960</v>
      </c>
      <c r="B13" s="9" t="s">
        <v>16</v>
      </c>
      <c r="C13" s="21">
        <v>83373</v>
      </c>
      <c r="D13" s="21">
        <v>7253427</v>
      </c>
      <c r="E13" s="7">
        <f>SUMIFS(Лист2!C:C,Лист2!B:B,'общая таблица'!B13,Лист2!A:A,'общая таблица'!A13)</f>
        <v>36</v>
      </c>
      <c r="F13" s="7">
        <f>SUMIFS(Лист2!D:D,Лист2!B:B,'общая таблица'!B13,Лист2!A:A,'общая таблица'!A13)</f>
        <v>5413</v>
      </c>
      <c r="G13" s="7">
        <f>SUMIFS(Лист2!E:E,Лист2!B:B,'общая таблица'!B13,Лист2!A:A,'общая таблица'!A13)</f>
        <v>4959</v>
      </c>
      <c r="H13" s="18">
        <f t="shared" si="0"/>
        <v>604739969271</v>
      </c>
      <c r="I13" t="str">
        <f t="shared" si="1"/>
        <v>суббота</v>
      </c>
    </row>
    <row r="14" spans="1:24" ht="14.25" customHeight="1" x14ac:dyDescent="0.3">
      <c r="A14" s="14">
        <v>43961</v>
      </c>
      <c r="B14" s="16" t="s">
        <v>16</v>
      </c>
      <c r="C14" s="20">
        <v>88311</v>
      </c>
      <c r="D14" s="20">
        <v>7726069.5</v>
      </c>
      <c r="E14" s="7">
        <f>SUMIFS(Лист2!C:C,Лист2!B:B,'общая таблица'!B14,Лист2!A:A,'общая таблица'!A14)</f>
        <v>36</v>
      </c>
      <c r="F14" s="7">
        <f>SUMIFS(Лист2!D:D,Лист2!B:B,'общая таблица'!B14,Лист2!A:A,'общая таблица'!A14)</f>
        <v>5746</v>
      </c>
      <c r="G14" s="7">
        <f>SUMIFS(Лист2!E:E,Лист2!B:B,'общая таблица'!B14,Лист2!A:A,'общая таблица'!A14)</f>
        <v>5277</v>
      </c>
      <c r="H14" s="18">
        <f t="shared" si="0"/>
        <v>682296923614.5</v>
      </c>
      <c r="I14" t="str">
        <f t="shared" si="1"/>
        <v>воскресенье</v>
      </c>
    </row>
    <row r="15" spans="1:24" ht="14.25" customHeight="1" x14ac:dyDescent="0.3">
      <c r="A15" s="8">
        <v>43962</v>
      </c>
      <c r="B15" s="9" t="s">
        <v>16</v>
      </c>
      <c r="C15" s="21">
        <v>59574</v>
      </c>
      <c r="D15" s="21">
        <v>5178169.5</v>
      </c>
      <c r="E15" s="7">
        <f>SUMIFS(Лист2!C:C,Лист2!B:B,'общая таблица'!B15,Лист2!A:A,'общая таблица'!A15)</f>
        <v>36</v>
      </c>
      <c r="F15" s="7">
        <f>SUMIFS(Лист2!D:D,Лист2!B:B,'общая таблица'!B15,Лист2!A:A,'общая таблица'!A15)</f>
        <v>4150</v>
      </c>
      <c r="G15" s="7">
        <f>SUMIFS(Лист2!E:E,Лист2!B:B,'общая таблица'!B15,Лист2!A:A,'общая таблица'!A15)</f>
        <v>3838</v>
      </c>
      <c r="H15" s="18">
        <f t="shared" si="0"/>
        <v>308484269793</v>
      </c>
      <c r="I15" t="str">
        <f t="shared" si="1"/>
        <v>понедельник</v>
      </c>
    </row>
    <row r="16" spans="1:24" ht="14.25" customHeight="1" x14ac:dyDescent="0.3">
      <c r="A16" s="14">
        <v>43963</v>
      </c>
      <c r="B16" s="16" t="s">
        <v>16</v>
      </c>
      <c r="C16" s="20">
        <v>64390.5</v>
      </c>
      <c r="D16" s="20">
        <v>5523145.5</v>
      </c>
      <c r="E16" s="7">
        <f>SUMIFS(Лист2!C:C,Лист2!B:B,'общая таблица'!B16,Лист2!A:A,'общая таблица'!A16)</f>
        <v>36</v>
      </c>
      <c r="F16" s="7">
        <f>SUMIFS(Лист2!D:D,Лист2!B:B,'общая таблица'!B16,Лист2!A:A,'общая таблица'!A16)</f>
        <v>4418</v>
      </c>
      <c r="G16" s="7">
        <f>SUMIFS(Лист2!E:E,Лист2!B:B,'общая таблица'!B16,Лист2!A:A,'общая таблица'!A16)</f>
        <v>4088</v>
      </c>
      <c r="H16" s="18">
        <f t="shared" si="0"/>
        <v>355638100317.75</v>
      </c>
      <c r="I16" t="str">
        <f t="shared" si="1"/>
        <v>вторник</v>
      </c>
    </row>
    <row r="17" spans="1:9" ht="14.25" customHeight="1" x14ac:dyDescent="0.3">
      <c r="A17" s="15">
        <v>43964</v>
      </c>
      <c r="B17" s="17" t="s">
        <v>16</v>
      </c>
      <c r="C17" s="23">
        <v>73062</v>
      </c>
      <c r="D17" s="23">
        <v>6333828</v>
      </c>
      <c r="E17" s="7">
        <f>SUMIFS(Лист2!C:C,Лист2!B:B,'общая таблица'!B17,Лист2!A:A,'общая таблица'!A17)</f>
        <v>36</v>
      </c>
      <c r="F17" s="7">
        <f>SUMIFS(Лист2!D:D,Лист2!B:B,'общая таблица'!B17,Лист2!A:A,'общая таблица'!A17)</f>
        <v>4967</v>
      </c>
      <c r="G17" s="7">
        <f>SUMIFS(Лист2!E:E,Лист2!B:B,'общая таблица'!B17,Лист2!A:A,'общая таблица'!A17)</f>
        <v>4583</v>
      </c>
      <c r="H17" s="18">
        <f t="shared" si="0"/>
        <v>462762141336</v>
      </c>
      <c r="I17" t="str">
        <f t="shared" si="1"/>
        <v>среда</v>
      </c>
    </row>
    <row r="18" spans="1:9" ht="14.25" customHeight="1" x14ac:dyDescent="0.3">
      <c r="A18" s="5">
        <v>43965</v>
      </c>
      <c r="B18" s="6" t="s">
        <v>16</v>
      </c>
      <c r="C18" s="22">
        <v>63645</v>
      </c>
      <c r="D18" s="22">
        <v>5366602.5</v>
      </c>
      <c r="E18" s="7">
        <f>SUMIFS(Лист2!C:C,Лист2!B:B,'общая таблица'!B18,Лист2!A:A,'общая таблица'!A18)</f>
        <v>36</v>
      </c>
      <c r="F18" s="7">
        <f>SUMIFS(Лист2!D:D,Лист2!B:B,'общая таблица'!B18,Лист2!A:A,'общая таблица'!A18)</f>
        <v>4285</v>
      </c>
      <c r="G18" s="7">
        <f>SUMIFS(Лист2!E:E,Лист2!B:B,'общая таблица'!B18,Лист2!A:A,'общая таблица'!A18)</f>
        <v>3950</v>
      </c>
      <c r="H18" s="18">
        <f t="shared" si="0"/>
        <v>341557416112.5</v>
      </c>
      <c r="I18" t="str">
        <f t="shared" si="1"/>
        <v>четверг</v>
      </c>
    </row>
    <row r="19" spans="1:9" ht="14.25" customHeight="1" x14ac:dyDescent="0.3">
      <c r="A19" s="8">
        <v>43966</v>
      </c>
      <c r="B19" s="9" t="s">
        <v>16</v>
      </c>
      <c r="C19" s="21">
        <v>75642</v>
      </c>
      <c r="D19" s="21">
        <v>6293952</v>
      </c>
      <c r="E19" s="7">
        <f>SUMIFS(Лист2!C:C,Лист2!B:B,'общая таблица'!B19,Лист2!A:A,'общая таблица'!A19)</f>
        <v>36</v>
      </c>
      <c r="F19" s="7">
        <f>SUMIFS(Лист2!D:D,Лист2!B:B,'общая таблица'!B19,Лист2!A:A,'общая таблица'!A19)</f>
        <v>4862</v>
      </c>
      <c r="G19" s="7">
        <f>SUMIFS(Лист2!E:E,Лист2!B:B,'общая таблица'!B19,Лист2!A:A,'общая таблица'!A19)</f>
        <v>4476</v>
      </c>
      <c r="H19" s="18">
        <f t="shared" si="0"/>
        <v>476087117184</v>
      </c>
      <c r="I19" t="str">
        <f t="shared" si="1"/>
        <v>пятница</v>
      </c>
    </row>
    <row r="20" spans="1:9" ht="14.25" customHeight="1" x14ac:dyDescent="0.3">
      <c r="A20" s="5">
        <v>43967</v>
      </c>
      <c r="B20" s="6" t="s">
        <v>16</v>
      </c>
      <c r="C20" s="22">
        <v>81331.5</v>
      </c>
      <c r="D20" s="22">
        <v>6652179</v>
      </c>
      <c r="E20" s="7">
        <f>SUMIFS(Лист2!C:C,Лист2!B:B,'общая таблица'!B20,Лист2!A:A,'общая таблица'!A20)</f>
        <v>36</v>
      </c>
      <c r="F20" s="7">
        <f>SUMIFS(Лист2!D:D,Лист2!B:B,'общая таблица'!B20,Лист2!A:A,'общая таблица'!A20)</f>
        <v>5286</v>
      </c>
      <c r="G20" s="7">
        <f>SUMIFS(Лист2!E:E,Лист2!B:B,'общая таблица'!B20,Лист2!A:A,'общая таблица'!A20)</f>
        <v>4867</v>
      </c>
      <c r="H20" s="18">
        <f t="shared" si="0"/>
        <v>541031696338.5</v>
      </c>
      <c r="I20" t="str">
        <f t="shared" si="1"/>
        <v>суббота</v>
      </c>
    </row>
    <row r="21" spans="1:9" ht="14.25" customHeight="1" x14ac:dyDescent="0.3">
      <c r="A21" s="15">
        <v>43968</v>
      </c>
      <c r="B21" s="17" t="s">
        <v>16</v>
      </c>
      <c r="C21" s="23">
        <v>72861</v>
      </c>
      <c r="D21" s="23">
        <v>5952802.5</v>
      </c>
      <c r="E21" s="7">
        <f>SUMIFS(Лист2!C:C,Лист2!B:B,'общая таблица'!B21,Лист2!A:A,'общая таблица'!A21)</f>
        <v>36</v>
      </c>
      <c r="F21" s="7">
        <f>SUMIFS(Лист2!D:D,Лист2!B:B,'общая таблица'!B21,Лист2!A:A,'общая таблица'!A21)</f>
        <v>4918</v>
      </c>
      <c r="G21" s="7">
        <f>SUMIFS(Лист2!E:E,Лист2!B:B,'общая таблица'!B21,Лист2!A:A,'общая таблица'!A21)</f>
        <v>4554</v>
      </c>
      <c r="H21" s="18">
        <f t="shared" si="0"/>
        <v>433727142952.5</v>
      </c>
      <c r="I21" t="str">
        <f t="shared" si="1"/>
        <v>воскресенье</v>
      </c>
    </row>
    <row r="22" spans="1:9" ht="14.25" customHeight="1" x14ac:dyDescent="0.3">
      <c r="A22" s="14">
        <v>43969</v>
      </c>
      <c r="B22" s="16" t="s">
        <v>16</v>
      </c>
      <c r="C22" s="20">
        <v>70278</v>
      </c>
      <c r="D22" s="20">
        <v>5798476.5</v>
      </c>
      <c r="E22" s="7">
        <f>SUMIFS(Лист2!C:C,Лист2!B:B,'общая таблица'!B22,Лист2!A:A,'общая таблица'!A22)</f>
        <v>36</v>
      </c>
      <c r="F22" s="7">
        <f>SUMIFS(Лист2!D:D,Лист2!B:B,'общая таблица'!B22,Лист2!A:A,'общая таблица'!A22)</f>
        <v>4885</v>
      </c>
      <c r="G22" s="7">
        <f>SUMIFS(Лист2!E:E,Лист2!B:B,'общая таблица'!B22,Лист2!A:A,'общая таблица'!A22)</f>
        <v>4502</v>
      </c>
      <c r="H22" s="18">
        <f t="shared" si="0"/>
        <v>407505331467</v>
      </c>
      <c r="I22" t="str">
        <f t="shared" si="1"/>
        <v>понедельник</v>
      </c>
    </row>
    <row r="23" spans="1:9" ht="14.25" customHeight="1" x14ac:dyDescent="0.3">
      <c r="A23" s="8">
        <v>43970</v>
      </c>
      <c r="B23" s="9" t="s">
        <v>16</v>
      </c>
      <c r="C23" s="21">
        <v>75796.5</v>
      </c>
      <c r="D23" s="21">
        <v>6173463</v>
      </c>
      <c r="E23" s="7">
        <f>SUMIFS(Лист2!C:C,Лист2!B:B,'общая таблица'!B23,Лист2!A:A,'общая таблица'!A23)</f>
        <v>36</v>
      </c>
      <c r="F23" s="7">
        <f>SUMIFS(Лист2!D:D,Лист2!B:B,'общая таблица'!B23,Лист2!A:A,'общая таблица'!A23)</f>
        <v>5094</v>
      </c>
      <c r="G23" s="7">
        <f>SUMIFS(Лист2!E:E,Лист2!B:B,'общая таблица'!B23,Лист2!A:A,'общая таблица'!A23)</f>
        <v>4716</v>
      </c>
      <c r="H23" s="18">
        <f t="shared" si="0"/>
        <v>467926888279.5</v>
      </c>
      <c r="I23" t="str">
        <f t="shared" si="1"/>
        <v>вторник</v>
      </c>
    </row>
    <row r="24" spans="1:9" ht="14.25" customHeight="1" x14ac:dyDescent="0.3">
      <c r="A24" s="14">
        <v>43971</v>
      </c>
      <c r="B24" s="16" t="s">
        <v>16</v>
      </c>
      <c r="C24" s="20">
        <v>99631.5</v>
      </c>
      <c r="D24" s="20">
        <v>7121946</v>
      </c>
      <c r="E24" s="7">
        <f>SUMIFS(Лист2!C:C,Лист2!B:B,'общая таблица'!B24,Лист2!A:A,'общая таблица'!A24)</f>
        <v>36</v>
      </c>
      <c r="F24" s="7">
        <f>SUMIFS(Лист2!D:D,Лист2!B:B,'общая таблица'!B24,Лист2!A:A,'общая таблица'!A24)</f>
        <v>5914</v>
      </c>
      <c r="G24" s="7">
        <f>SUMIFS(Лист2!E:E,Лист2!B:B,'общая таблица'!B24,Лист2!A:A,'общая таблица'!A24)</f>
        <v>5384</v>
      </c>
      <c r="H24" s="18">
        <f t="shared" si="0"/>
        <v>709570162899</v>
      </c>
      <c r="I24" t="str">
        <f t="shared" si="1"/>
        <v>среда</v>
      </c>
    </row>
    <row r="25" spans="1:9" ht="14.25" customHeight="1" x14ac:dyDescent="0.3">
      <c r="A25" s="15">
        <v>43972</v>
      </c>
      <c r="B25" s="17" t="s">
        <v>16</v>
      </c>
      <c r="C25" s="23">
        <v>73126.5</v>
      </c>
      <c r="D25" s="23">
        <v>5864085</v>
      </c>
      <c r="E25" s="7">
        <f>SUMIFS(Лист2!C:C,Лист2!B:B,'общая таблица'!B25,Лист2!A:A,'общая таблица'!A25)</f>
        <v>36</v>
      </c>
      <c r="F25" s="7">
        <f>SUMIFS(Лист2!D:D,Лист2!B:B,'общая таблица'!B25,Лист2!A:A,'общая таблица'!A25)</f>
        <v>4816</v>
      </c>
      <c r="G25" s="7">
        <f>SUMIFS(Лист2!E:E,Лист2!B:B,'общая таблица'!B25,Лист2!A:A,'общая таблица'!A25)</f>
        <v>4452</v>
      </c>
      <c r="H25" s="18">
        <f t="shared" si="0"/>
        <v>428820011752.5</v>
      </c>
      <c r="I25" t="str">
        <f t="shared" si="1"/>
        <v>четверг</v>
      </c>
    </row>
    <row r="26" spans="1:9" ht="14.25" customHeight="1" x14ac:dyDescent="0.3">
      <c r="A26" s="14">
        <v>43973</v>
      </c>
      <c r="B26" s="16" t="s">
        <v>16</v>
      </c>
      <c r="C26" s="20">
        <v>75820.5</v>
      </c>
      <c r="D26" s="20">
        <v>5943489</v>
      </c>
      <c r="E26" s="7">
        <f>SUMIFS(Лист2!C:C,Лист2!B:B,'общая таблица'!B26,Лист2!A:A,'общая таблица'!A26)</f>
        <v>36</v>
      </c>
      <c r="F26" s="7">
        <f>SUMIFS(Лист2!D:D,Лист2!B:B,'общая таблица'!B26,Лист2!A:A,'общая таблица'!A26)</f>
        <v>4857</v>
      </c>
      <c r="G26" s="7">
        <f>SUMIFS(Лист2!E:E,Лист2!B:B,'общая таблица'!B26,Лист2!A:A,'общая таблица'!A26)</f>
        <v>4456</v>
      </c>
      <c r="H26" s="18">
        <f t="shared" si="0"/>
        <v>450638307724.5</v>
      </c>
      <c r="I26" t="str">
        <f t="shared" si="1"/>
        <v>пятница</v>
      </c>
    </row>
    <row r="27" spans="1:9" ht="14.25" customHeight="1" x14ac:dyDescent="0.3">
      <c r="A27" s="8">
        <v>43974</v>
      </c>
      <c r="B27" s="9" t="s">
        <v>16</v>
      </c>
      <c r="C27" s="21">
        <v>89556</v>
      </c>
      <c r="D27" s="21">
        <v>7173117</v>
      </c>
      <c r="E27" s="7">
        <f>SUMIFS(Лист2!C:C,Лист2!B:B,'общая таблица'!B27,Лист2!A:A,'общая таблица'!A27)</f>
        <v>36</v>
      </c>
      <c r="F27" s="7">
        <f>SUMIFS(Лист2!D:D,Лист2!B:B,'общая таблица'!B27,Лист2!A:A,'общая таблица'!A27)</f>
        <v>5651</v>
      </c>
      <c r="G27" s="7">
        <f>SUMIFS(Лист2!E:E,Лист2!B:B,'общая таблица'!B27,Лист2!A:A,'общая таблица'!A27)</f>
        <v>5212</v>
      </c>
      <c r="H27" s="18">
        <f t="shared" si="0"/>
        <v>642395666052</v>
      </c>
      <c r="I27" t="str">
        <f t="shared" si="1"/>
        <v>суббота</v>
      </c>
    </row>
    <row r="28" spans="1:9" ht="14.25" customHeight="1" x14ac:dyDescent="0.3">
      <c r="A28" s="5">
        <v>43975</v>
      </c>
      <c r="B28" s="6" t="s">
        <v>16</v>
      </c>
      <c r="C28" s="22">
        <v>74649</v>
      </c>
      <c r="D28" s="22">
        <v>6098236.5</v>
      </c>
      <c r="E28" s="7">
        <f>SUMIFS(Лист2!C:C,Лист2!B:B,'общая таблица'!B28,Лист2!A:A,'общая таблица'!A28)</f>
        <v>36</v>
      </c>
      <c r="F28" s="7">
        <f>SUMIFS(Лист2!D:D,Лист2!B:B,'общая таблица'!B28,Лист2!A:A,'общая таблица'!A28)</f>
        <v>4915</v>
      </c>
      <c r="G28" s="7">
        <f>SUMIFS(Лист2!E:E,Лист2!B:B,'общая таблица'!B28,Лист2!A:A,'общая таблица'!A28)</f>
        <v>4562</v>
      </c>
      <c r="H28" s="18">
        <f t="shared" si="0"/>
        <v>455227256488.5</v>
      </c>
      <c r="I28" t="str">
        <f t="shared" si="1"/>
        <v>воскресенье</v>
      </c>
    </row>
    <row r="29" spans="1:9" ht="14.25" customHeight="1" x14ac:dyDescent="0.3">
      <c r="A29" s="8">
        <v>43976</v>
      </c>
      <c r="B29" s="9" t="s">
        <v>16</v>
      </c>
      <c r="C29" s="21">
        <v>66316.5</v>
      </c>
      <c r="D29" s="21">
        <v>5704650</v>
      </c>
      <c r="E29" s="7">
        <f>SUMIFS(Лист2!C:C,Лист2!B:B,'общая таблица'!B29,Лист2!A:A,'общая таблица'!A29)</f>
        <v>36</v>
      </c>
      <c r="F29" s="7">
        <f>SUMIFS(Лист2!D:D,Лист2!B:B,'общая таблица'!B29,Лист2!A:A,'общая таблица'!A29)</f>
        <v>4641</v>
      </c>
      <c r="G29" s="7">
        <f>SUMIFS(Лист2!E:E,Лист2!B:B,'общая таблица'!B29,Лист2!A:A,'общая таблица'!A29)</f>
        <v>4274</v>
      </c>
      <c r="H29" s="18">
        <f t="shared" si="0"/>
        <v>378312421725</v>
      </c>
      <c r="I29" t="str">
        <f t="shared" si="1"/>
        <v>понедельник</v>
      </c>
    </row>
    <row r="30" spans="1:9" ht="14.25" customHeight="1" x14ac:dyDescent="0.3">
      <c r="A30" s="14">
        <v>43977</v>
      </c>
      <c r="B30" s="16" t="s">
        <v>16</v>
      </c>
      <c r="C30" s="20">
        <v>67726.5</v>
      </c>
      <c r="D30" s="20">
        <v>5864989.5</v>
      </c>
      <c r="E30" s="7">
        <f>SUMIFS(Лист2!C:C,Лист2!B:B,'общая таблица'!B30,Лист2!A:A,'общая таблица'!A30)</f>
        <v>36</v>
      </c>
      <c r="F30" s="7">
        <f>SUMIFS(Лист2!D:D,Лист2!B:B,'общая таблица'!B30,Лист2!A:A,'общая таблица'!A30)</f>
        <v>4770</v>
      </c>
      <c r="G30" s="7">
        <f>SUMIFS(Лист2!E:E,Лист2!B:B,'общая таблица'!B30,Лист2!A:A,'общая таблица'!A30)</f>
        <v>4424</v>
      </c>
      <c r="H30" s="18">
        <f t="shared" si="0"/>
        <v>397215211371.75</v>
      </c>
      <c r="I30" t="str">
        <f t="shared" si="1"/>
        <v>вторник</v>
      </c>
    </row>
    <row r="31" spans="1:9" ht="14.25" customHeight="1" x14ac:dyDescent="0.3">
      <c r="A31" s="15">
        <v>43978</v>
      </c>
      <c r="B31" s="17" t="s">
        <v>16</v>
      </c>
      <c r="C31" s="23">
        <v>69010.5</v>
      </c>
      <c r="D31" s="23">
        <v>5985894</v>
      </c>
      <c r="E31" s="7">
        <f>SUMIFS(Лист2!C:C,Лист2!B:B,'общая таблица'!B31,Лист2!A:A,'общая таблица'!A31)</f>
        <v>36</v>
      </c>
      <c r="F31" s="7">
        <f>SUMIFS(Лист2!D:D,Лист2!B:B,'общая таблица'!B31,Лист2!A:A,'общая таблица'!A31)</f>
        <v>4951</v>
      </c>
      <c r="G31" s="7">
        <f>SUMIFS(Лист2!E:E,Лист2!B:B,'общая таблица'!B31,Лист2!A:A,'общая таблица'!A31)</f>
        <v>4584</v>
      </c>
      <c r="H31" s="18">
        <f t="shared" si="0"/>
        <v>413089537887</v>
      </c>
      <c r="I31" t="str">
        <f t="shared" si="1"/>
        <v>среда</v>
      </c>
    </row>
    <row r="32" spans="1:9" ht="14.25" customHeight="1" x14ac:dyDescent="0.3">
      <c r="A32" s="14">
        <v>43979</v>
      </c>
      <c r="B32" s="16" t="s">
        <v>16</v>
      </c>
      <c r="C32" s="20">
        <v>69945</v>
      </c>
      <c r="D32" s="20">
        <v>6101931</v>
      </c>
      <c r="E32" s="7">
        <f>SUMIFS(Лист2!C:C,Лист2!B:B,'общая таблица'!B32,Лист2!A:A,'общая таблица'!A32)</f>
        <v>37</v>
      </c>
      <c r="F32" s="7">
        <f>SUMIFS(Лист2!D:D,Лист2!B:B,'общая таблица'!B32,Лист2!A:A,'общая таблица'!A32)</f>
        <v>4840</v>
      </c>
      <c r="G32" s="7">
        <f>SUMIFS(Лист2!E:E,Лист2!B:B,'общая таблица'!B32,Лист2!A:A,'общая таблица'!A32)</f>
        <v>4475</v>
      </c>
      <c r="H32" s="18">
        <f t="shared" si="0"/>
        <v>426799563795</v>
      </c>
      <c r="I32" t="str">
        <f t="shared" si="1"/>
        <v>четверг</v>
      </c>
    </row>
    <row r="33" spans="1:9" ht="14.25" customHeight="1" x14ac:dyDescent="0.3">
      <c r="A33" s="15">
        <v>43980</v>
      </c>
      <c r="B33" s="17" t="s">
        <v>16</v>
      </c>
      <c r="C33" s="23">
        <v>84433.5</v>
      </c>
      <c r="D33" s="23">
        <v>7228395</v>
      </c>
      <c r="E33" s="7">
        <f>SUMIFS(Лист2!C:C,Лист2!B:B,'общая таблица'!B33,Лист2!A:A,'общая таблица'!A33)</f>
        <v>37</v>
      </c>
      <c r="F33" s="7">
        <f>SUMIFS(Лист2!D:D,Лист2!B:B,'общая таблица'!B33,Лист2!A:A,'общая таблица'!A33)</f>
        <v>5672</v>
      </c>
      <c r="G33" s="7">
        <f>SUMIFS(Лист2!E:E,Лист2!B:B,'общая таблица'!B33,Лист2!A:A,'общая таблица'!A33)</f>
        <v>5198</v>
      </c>
      <c r="H33" s="18">
        <f t="shared" si="0"/>
        <v>610318689232.5</v>
      </c>
      <c r="I33" t="str">
        <f t="shared" si="1"/>
        <v>пятница</v>
      </c>
    </row>
    <row r="34" spans="1:9" ht="14.25" customHeight="1" x14ac:dyDescent="0.3">
      <c r="A34" s="5">
        <v>43981</v>
      </c>
      <c r="B34" s="6" t="s">
        <v>16</v>
      </c>
      <c r="C34" s="22">
        <v>106926</v>
      </c>
      <c r="D34" s="22">
        <v>9098386.5</v>
      </c>
      <c r="E34" s="7">
        <f>SUMIFS(Лист2!C:C,Лист2!B:B,'общая таблица'!B34,Лист2!A:A,'общая таблица'!A34)</f>
        <v>37</v>
      </c>
      <c r="F34" s="7">
        <f>SUMIFS(Лист2!D:D,Лист2!B:B,'общая таблица'!B34,Лист2!A:A,'общая таблица'!A34)</f>
        <v>6645</v>
      </c>
      <c r="G34" s="7">
        <f>SUMIFS(Лист2!E:E,Лист2!B:B,'общая таблица'!B34,Лист2!A:A,'общая таблица'!A34)</f>
        <v>6122</v>
      </c>
      <c r="H34" s="18">
        <f t="shared" si="0"/>
        <v>972854074899</v>
      </c>
      <c r="I34" t="str">
        <f t="shared" si="1"/>
        <v>суббота</v>
      </c>
    </row>
    <row r="35" spans="1:9" ht="14.25" customHeight="1" x14ac:dyDescent="0.3">
      <c r="A35" s="15">
        <v>43982</v>
      </c>
      <c r="B35" s="17" t="s">
        <v>16</v>
      </c>
      <c r="C35" s="23">
        <v>76234.5</v>
      </c>
      <c r="D35" s="23">
        <v>6500848.5</v>
      </c>
      <c r="E35" s="7">
        <f>SUMIFS(Лист2!C:C,Лист2!B:B,'общая таблица'!B35,Лист2!A:A,'общая таблица'!A35)</f>
        <v>37</v>
      </c>
      <c r="F35" s="7">
        <f>SUMIFS(Лист2!D:D,Лист2!B:B,'общая таблица'!B35,Лист2!A:A,'общая таблица'!A35)</f>
        <v>5215</v>
      </c>
      <c r="G35" s="7">
        <f>SUMIFS(Лист2!E:E,Лист2!B:B,'общая таблица'!B35,Лист2!A:A,'общая таблица'!A35)</f>
        <v>4848</v>
      </c>
      <c r="H35" s="18">
        <f t="shared" si="0"/>
        <v>495588934973.25</v>
      </c>
      <c r="I35" t="str">
        <f t="shared" si="1"/>
        <v>воскресенье</v>
      </c>
    </row>
    <row r="36" spans="1:9" ht="14.25" customHeight="1" x14ac:dyDescent="0.3">
      <c r="A36" s="5">
        <v>43983</v>
      </c>
      <c r="B36" s="6" t="s">
        <v>16</v>
      </c>
      <c r="C36" s="22">
        <v>64740</v>
      </c>
      <c r="D36" s="22">
        <v>5800290</v>
      </c>
      <c r="E36" s="7">
        <f>SUMIFS(Лист2!C:C,Лист2!B:B,'общая таблица'!B36,Лист2!A:A,'общая таблица'!A36)</f>
        <v>37</v>
      </c>
      <c r="F36" s="7">
        <f>SUMIFS(Лист2!D:D,Лист2!B:B,'общая таблица'!B36,Лист2!A:A,'общая таблица'!A36)</f>
        <v>4722</v>
      </c>
      <c r="G36" s="7">
        <f>SUMIFS(Лист2!E:E,Лист2!B:B,'общая таблица'!B36,Лист2!A:A,'общая таблица'!A36)</f>
        <v>4352</v>
      </c>
      <c r="H36" s="18">
        <f t="shared" si="0"/>
        <v>375510774600</v>
      </c>
      <c r="I36" t="str">
        <f t="shared" si="1"/>
        <v>понедельник</v>
      </c>
    </row>
    <row r="37" spans="1:9" ht="14.25" customHeight="1" x14ac:dyDescent="0.3">
      <c r="A37" s="8">
        <v>43949</v>
      </c>
      <c r="B37" s="9" t="s">
        <v>11</v>
      </c>
      <c r="C37" s="21">
        <v>81826.5</v>
      </c>
      <c r="D37" s="21">
        <v>7163644.5</v>
      </c>
      <c r="E37" s="7">
        <f>SUMIFS(Лист2!C:C,Лист2!B:B,'общая таблица'!B37,Лист2!A:A,'общая таблица'!A37)</f>
        <v>31</v>
      </c>
      <c r="F37" s="7">
        <f>SUMIFS(Лист2!D:D,Лист2!B:B,'общая таблица'!B37,Лист2!A:A,'общая таблица'!A37)</f>
        <v>5465</v>
      </c>
      <c r="G37" s="7">
        <f>SUMIFS(Лист2!E:E,Лист2!B:B,'общая таблица'!B37,Лист2!A:A,'общая таблица'!A37)</f>
        <v>5096</v>
      </c>
      <c r="H37" s="18">
        <f t="shared" si="0"/>
        <v>586175956679.25</v>
      </c>
      <c r="I37" t="str">
        <f t="shared" si="1"/>
        <v>вторник</v>
      </c>
    </row>
    <row r="38" spans="1:9" ht="14.25" customHeight="1" x14ac:dyDescent="0.3">
      <c r="A38" s="14">
        <v>43950</v>
      </c>
      <c r="B38" s="16" t="s">
        <v>11</v>
      </c>
      <c r="C38" s="20">
        <v>79527</v>
      </c>
      <c r="D38" s="20">
        <v>7180498.5</v>
      </c>
      <c r="E38" s="7">
        <f>SUMIFS(Лист2!C:C,Лист2!B:B,'общая таблица'!B38,Лист2!A:A,'общая таблица'!A38)</f>
        <v>31</v>
      </c>
      <c r="F38" s="7">
        <f>SUMIFS(Лист2!D:D,Лист2!B:B,'общая таблица'!B38,Лист2!A:A,'общая таблица'!A38)</f>
        <v>5378</v>
      </c>
      <c r="G38" s="7">
        <f>SUMIFS(Лист2!E:E,Лист2!B:B,'общая таблица'!B38,Лист2!A:A,'общая таблица'!A38)</f>
        <v>4985</v>
      </c>
      <c r="H38" s="18">
        <f t="shared" si="0"/>
        <v>571043504209.5</v>
      </c>
      <c r="I38" t="str">
        <f t="shared" si="1"/>
        <v>среда</v>
      </c>
    </row>
    <row r="39" spans="1:9" ht="14.25" customHeight="1" x14ac:dyDescent="0.3">
      <c r="A39" s="8">
        <v>43951</v>
      </c>
      <c r="B39" s="9" t="s">
        <v>11</v>
      </c>
      <c r="C39" s="21">
        <v>77565</v>
      </c>
      <c r="D39" s="21">
        <v>7023727.5</v>
      </c>
      <c r="E39" s="7">
        <f>SUMIFS(Лист2!C:C,Лист2!B:B,'общая таблица'!B39,Лист2!A:A,'общая таблица'!A39)</f>
        <v>31</v>
      </c>
      <c r="F39" s="7">
        <f>SUMIFS(Лист2!D:D,Лист2!B:B,'общая таблица'!B39,Лист2!A:A,'общая таблица'!A39)</f>
        <v>5120</v>
      </c>
      <c r="G39" s="7">
        <f>SUMIFS(Лист2!E:E,Лист2!B:B,'общая таблица'!B39,Лист2!A:A,'общая таблица'!A39)</f>
        <v>4737</v>
      </c>
      <c r="H39" s="18">
        <f t="shared" si="0"/>
        <v>544795423537.5</v>
      </c>
      <c r="I39" t="str">
        <f t="shared" si="1"/>
        <v>четверг</v>
      </c>
    </row>
    <row r="40" spans="1:9" ht="14.25" customHeight="1" x14ac:dyDescent="0.3">
      <c r="A40" s="5">
        <v>43952</v>
      </c>
      <c r="B40" s="6" t="s">
        <v>11</v>
      </c>
      <c r="C40" s="22">
        <v>97534.5</v>
      </c>
      <c r="D40" s="22">
        <v>8893024.5</v>
      </c>
      <c r="E40" s="7">
        <f>SUMIFS(Лист2!C:C,Лист2!B:B,'общая таблица'!B40,Лист2!A:A,'общая таблица'!A40)</f>
        <v>31</v>
      </c>
      <c r="F40" s="7">
        <f>SUMIFS(Лист2!D:D,Лист2!B:B,'общая таблица'!B40,Лист2!A:A,'общая таблица'!A40)</f>
        <v>6118</v>
      </c>
      <c r="G40" s="7">
        <f>SUMIFS(Лист2!E:E,Лист2!B:B,'общая таблица'!B40,Лист2!A:A,'общая таблица'!A40)</f>
        <v>5564</v>
      </c>
      <c r="H40" s="18">
        <f t="shared" si="0"/>
        <v>867376698095.25</v>
      </c>
      <c r="I40" t="str">
        <f t="shared" si="1"/>
        <v>пятница</v>
      </c>
    </row>
    <row r="41" spans="1:9" ht="14.25" customHeight="1" x14ac:dyDescent="0.3">
      <c r="A41" s="15">
        <v>43953</v>
      </c>
      <c r="B41" s="17" t="s">
        <v>11</v>
      </c>
      <c r="C41" s="23">
        <v>60463.5</v>
      </c>
      <c r="D41" s="23">
        <v>5554192.5</v>
      </c>
      <c r="E41" s="7">
        <f>SUMIFS(Лист2!C:C,Лист2!B:B,'общая таблица'!B41,Лист2!A:A,'общая таблица'!A41)</f>
        <v>31</v>
      </c>
      <c r="F41" s="7">
        <f>SUMIFS(Лист2!D:D,Лист2!B:B,'общая таблица'!B41,Лист2!A:A,'общая таблица'!A41)</f>
        <v>4157</v>
      </c>
      <c r="G41" s="7">
        <f>SUMIFS(Лист2!E:E,Лист2!B:B,'общая таблица'!B41,Лист2!A:A,'общая таблица'!A41)</f>
        <v>3823</v>
      </c>
      <c r="H41" s="18">
        <f t="shared" si="0"/>
        <v>335825918223.75</v>
      </c>
      <c r="I41" t="str">
        <f t="shared" si="1"/>
        <v>суббота</v>
      </c>
    </row>
    <row r="42" spans="1:9" ht="14.25" customHeight="1" x14ac:dyDescent="0.3">
      <c r="A42" s="14">
        <v>43954</v>
      </c>
      <c r="B42" s="16" t="s">
        <v>11</v>
      </c>
      <c r="C42" s="20">
        <v>77263.5</v>
      </c>
      <c r="D42" s="20">
        <v>7013670</v>
      </c>
      <c r="E42" s="7">
        <f>SUMIFS(Лист2!C:C,Лист2!B:B,'общая таблица'!B42,Лист2!A:A,'общая таблица'!A42)</f>
        <v>31</v>
      </c>
      <c r="F42" s="7">
        <f>SUMIFS(Лист2!D:D,Лист2!B:B,'общая таблица'!B42,Лист2!A:A,'общая таблица'!A42)</f>
        <v>5155</v>
      </c>
      <c r="G42" s="7">
        <f>SUMIFS(Лист2!E:E,Лист2!B:B,'общая таблица'!B42,Лист2!A:A,'общая таблица'!A42)</f>
        <v>4762</v>
      </c>
      <c r="H42" s="18">
        <f t="shared" si="0"/>
        <v>541900692045</v>
      </c>
      <c r="I42" t="str">
        <f t="shared" si="1"/>
        <v>воскресенье</v>
      </c>
    </row>
    <row r="43" spans="1:9" ht="14.25" customHeight="1" x14ac:dyDescent="0.3">
      <c r="A43" s="15">
        <v>43955</v>
      </c>
      <c r="B43" s="17" t="s">
        <v>11</v>
      </c>
      <c r="C43" s="23">
        <v>72928.5</v>
      </c>
      <c r="D43" s="23">
        <v>6642249</v>
      </c>
      <c r="E43" s="7">
        <f>SUMIFS(Лист2!C:C,Лист2!B:B,'общая таблица'!B43,Лист2!A:A,'общая таблица'!A43)</f>
        <v>31</v>
      </c>
      <c r="F43" s="7">
        <f>SUMIFS(Лист2!D:D,Лист2!B:B,'общая таблица'!B43,Лист2!A:A,'общая таблица'!A43)</f>
        <v>4968</v>
      </c>
      <c r="G43" s="7">
        <f>SUMIFS(Лист2!E:E,Лист2!B:B,'общая таблица'!B43,Лист2!A:A,'общая таблица'!A43)</f>
        <v>4596</v>
      </c>
      <c r="H43" s="18">
        <f t="shared" si="0"/>
        <v>484409256196.5</v>
      </c>
      <c r="I43" t="str">
        <f t="shared" si="1"/>
        <v>понедельник</v>
      </c>
    </row>
    <row r="44" spans="1:9" ht="14.25" customHeight="1" x14ac:dyDescent="0.3">
      <c r="A44" s="5">
        <v>43956</v>
      </c>
      <c r="B44" s="6" t="s">
        <v>11</v>
      </c>
      <c r="C44" s="22">
        <v>76585.5</v>
      </c>
      <c r="D44" s="22">
        <v>6921316.5</v>
      </c>
      <c r="E44" s="7">
        <f>SUMIFS(Лист2!C:C,Лист2!B:B,'общая таблица'!B44,Лист2!A:A,'общая таблица'!A44)</f>
        <v>31</v>
      </c>
      <c r="F44" s="7">
        <f>SUMIFS(Лист2!D:D,Лист2!B:B,'общая таблица'!B44,Лист2!A:A,'общая таблица'!A44)</f>
        <v>5188</v>
      </c>
      <c r="G44" s="7">
        <f>SUMIFS(Лист2!E:E,Лист2!B:B,'общая таблица'!B44,Лист2!A:A,'общая таблица'!A44)</f>
        <v>4800</v>
      </c>
      <c r="H44" s="18">
        <f t="shared" si="0"/>
        <v>530072484810.75</v>
      </c>
      <c r="I44" t="str">
        <f t="shared" si="1"/>
        <v>вторник</v>
      </c>
    </row>
    <row r="45" spans="1:9" ht="14.25" customHeight="1" x14ac:dyDescent="0.3">
      <c r="A45" s="15">
        <v>43957</v>
      </c>
      <c r="B45" s="17" t="s">
        <v>11</v>
      </c>
      <c r="C45" s="23">
        <v>68994</v>
      </c>
      <c r="D45" s="23">
        <v>6168657</v>
      </c>
      <c r="E45" s="7">
        <f>SUMIFS(Лист2!C:C,Лист2!B:B,'общая таблица'!B45,Лист2!A:A,'общая таблица'!A45)</f>
        <v>31</v>
      </c>
      <c r="F45" s="7">
        <f>SUMIFS(Лист2!D:D,Лист2!B:B,'общая таблица'!B45,Лист2!A:A,'общая таблица'!A45)</f>
        <v>4709</v>
      </c>
      <c r="G45" s="7">
        <f>SUMIFS(Лист2!E:E,Лист2!B:B,'общая таблица'!B45,Лист2!A:A,'общая таблица'!A45)</f>
        <v>4348</v>
      </c>
      <c r="H45" s="18">
        <f t="shared" si="0"/>
        <v>425600321058</v>
      </c>
      <c r="I45" t="str">
        <f t="shared" si="1"/>
        <v>среда</v>
      </c>
    </row>
    <row r="46" spans="1:9" ht="14.25" customHeight="1" x14ac:dyDescent="0.3">
      <c r="A46" s="5">
        <v>43958</v>
      </c>
      <c r="B46" s="6" t="s">
        <v>11</v>
      </c>
      <c r="C46" s="22">
        <v>73204.5</v>
      </c>
      <c r="D46" s="22">
        <v>6591883.5</v>
      </c>
      <c r="E46" s="7">
        <f>SUMIFS(Лист2!C:C,Лист2!B:B,'общая таблица'!B46,Лист2!A:A,'общая таблица'!A46)</f>
        <v>31</v>
      </c>
      <c r="F46" s="7">
        <f>SUMIFS(Лист2!D:D,Лист2!B:B,'общая таблица'!B46,Лист2!A:A,'общая таблица'!A46)</f>
        <v>4903</v>
      </c>
      <c r="G46" s="7">
        <f>SUMIFS(Лист2!E:E,Лист2!B:B,'общая таблица'!B46,Лист2!A:A,'общая таблица'!A46)</f>
        <v>4527</v>
      </c>
      <c r="H46" s="18">
        <f t="shared" si="0"/>
        <v>482555535675.75</v>
      </c>
      <c r="I46" t="str">
        <f t="shared" si="1"/>
        <v>четверг</v>
      </c>
    </row>
    <row r="47" spans="1:9" ht="14.25" customHeight="1" x14ac:dyDescent="0.3">
      <c r="A47" s="8">
        <v>43959</v>
      </c>
      <c r="B47" s="9" t="s">
        <v>11</v>
      </c>
      <c r="C47" s="21">
        <v>69544.5</v>
      </c>
      <c r="D47" s="21">
        <v>6293776.5</v>
      </c>
      <c r="E47" s="7">
        <f>SUMIFS(Лист2!C:C,Лист2!B:B,'общая таблица'!B47,Лист2!A:A,'общая таблица'!A47)</f>
        <v>31</v>
      </c>
      <c r="F47" s="7">
        <f>SUMIFS(Лист2!D:D,Лист2!B:B,'общая таблица'!B47,Лист2!A:A,'общая таблица'!A47)</f>
        <v>4635</v>
      </c>
      <c r="G47" s="7">
        <f>SUMIFS(Лист2!E:E,Лист2!B:B,'общая таблица'!B47,Лист2!A:A,'общая таблица'!A47)</f>
        <v>4266</v>
      </c>
      <c r="H47" s="18">
        <f t="shared" si="0"/>
        <v>437697539804.25</v>
      </c>
      <c r="I47" t="str">
        <f t="shared" si="1"/>
        <v>пятница</v>
      </c>
    </row>
    <row r="48" spans="1:9" ht="14.25" customHeight="1" x14ac:dyDescent="0.3">
      <c r="A48" s="14">
        <v>43960</v>
      </c>
      <c r="B48" s="16" t="s">
        <v>11</v>
      </c>
      <c r="C48" s="20">
        <v>69720</v>
      </c>
      <c r="D48" s="20">
        <v>6264933</v>
      </c>
      <c r="E48" s="7">
        <f>SUMIFS(Лист2!C:C,Лист2!B:B,'общая таблица'!B48,Лист2!A:A,'общая таблица'!A48)</f>
        <v>31</v>
      </c>
      <c r="F48" s="7">
        <f>SUMIFS(Лист2!D:D,Лист2!B:B,'общая таблица'!B48,Лист2!A:A,'общая таблица'!A48)</f>
        <v>4556</v>
      </c>
      <c r="G48" s="7">
        <f>SUMIFS(Лист2!E:E,Лист2!B:B,'общая таблица'!B48,Лист2!A:A,'общая таблица'!A48)</f>
        <v>4220</v>
      </c>
      <c r="H48" s="18">
        <f t="shared" si="0"/>
        <v>436791128760</v>
      </c>
      <c r="I48" t="str">
        <f t="shared" si="1"/>
        <v>суббота</v>
      </c>
    </row>
    <row r="49" spans="1:9" ht="14.25" customHeight="1" x14ac:dyDescent="0.3">
      <c r="A49" s="15">
        <v>43961</v>
      </c>
      <c r="B49" s="17" t="s">
        <v>11</v>
      </c>
      <c r="C49" s="23">
        <v>84132</v>
      </c>
      <c r="D49" s="23">
        <v>7483194</v>
      </c>
      <c r="E49" s="7">
        <f>SUMIFS(Лист2!C:C,Лист2!B:B,'общая таблица'!B49,Лист2!A:A,'общая таблица'!A49)</f>
        <v>31</v>
      </c>
      <c r="F49" s="7">
        <f>SUMIFS(Лист2!D:D,Лист2!B:B,'общая таблица'!B49,Лист2!A:A,'общая таблица'!A49)</f>
        <v>5495</v>
      </c>
      <c r="G49" s="7">
        <f>SUMIFS(Лист2!E:E,Лист2!B:B,'общая таблица'!B49,Лист2!A:A,'общая таблица'!A49)</f>
        <v>5093</v>
      </c>
      <c r="H49" s="18">
        <f t="shared" si="0"/>
        <v>629576077608</v>
      </c>
      <c r="I49" t="str">
        <f t="shared" si="1"/>
        <v>воскресенье</v>
      </c>
    </row>
    <row r="50" spans="1:9" ht="14.25" customHeight="1" x14ac:dyDescent="0.3">
      <c r="A50" s="5">
        <v>43962</v>
      </c>
      <c r="B50" s="6" t="s">
        <v>11</v>
      </c>
      <c r="C50" s="22">
        <v>72220.5</v>
      </c>
      <c r="D50" s="22">
        <v>6398719.5</v>
      </c>
      <c r="E50" s="7">
        <f>SUMIFS(Лист2!C:C,Лист2!B:B,'общая таблица'!B50,Лист2!A:A,'общая таблица'!A50)</f>
        <v>31</v>
      </c>
      <c r="F50" s="7">
        <f>SUMIFS(Лист2!D:D,Лист2!B:B,'общая таблица'!B50,Лист2!A:A,'общая таблица'!A50)</f>
        <v>4826</v>
      </c>
      <c r="G50" s="7">
        <f>SUMIFS(Лист2!E:E,Лист2!B:B,'общая таблица'!B50,Лист2!A:A,'общая таблица'!A50)</f>
        <v>4483</v>
      </c>
      <c r="H50" s="18">
        <f t="shared" si="0"/>
        <v>462118721649.75</v>
      </c>
      <c r="I50" t="str">
        <f t="shared" si="1"/>
        <v>понедельник</v>
      </c>
    </row>
    <row r="51" spans="1:9" ht="14.25" customHeight="1" x14ac:dyDescent="0.3">
      <c r="A51" s="8">
        <v>43963</v>
      </c>
      <c r="B51" s="9" t="s">
        <v>11</v>
      </c>
      <c r="C51" s="21">
        <v>71520</v>
      </c>
      <c r="D51" s="21">
        <v>6398361</v>
      </c>
      <c r="E51" s="7">
        <f>SUMIFS(Лист2!C:C,Лист2!B:B,'общая таблица'!B51,Лист2!A:A,'общая таблица'!A51)</f>
        <v>31</v>
      </c>
      <c r="F51" s="7">
        <f>SUMIFS(Лист2!D:D,Лист2!B:B,'общая таблица'!B51,Лист2!A:A,'общая таблица'!A51)</f>
        <v>4800</v>
      </c>
      <c r="G51" s="7">
        <f>SUMIFS(Лист2!E:E,Лист2!B:B,'общая таблица'!B51,Лист2!A:A,'общая таблица'!A51)</f>
        <v>4470</v>
      </c>
      <c r="H51" s="18">
        <f t="shared" si="0"/>
        <v>457610778720</v>
      </c>
      <c r="I51" t="str">
        <f t="shared" si="1"/>
        <v>вторник</v>
      </c>
    </row>
    <row r="52" spans="1:9" ht="14.25" customHeight="1" x14ac:dyDescent="0.3">
      <c r="A52" s="5">
        <v>43964</v>
      </c>
      <c r="B52" s="6" t="s">
        <v>11</v>
      </c>
      <c r="C52" s="22">
        <v>78846</v>
      </c>
      <c r="D52" s="22">
        <v>6993952.5</v>
      </c>
      <c r="E52" s="7">
        <f>SUMIFS(Лист2!C:C,Лист2!B:B,'общая таблица'!B52,Лист2!A:A,'общая таблица'!A52)</f>
        <v>31</v>
      </c>
      <c r="F52" s="7">
        <f>SUMIFS(Лист2!D:D,Лист2!B:B,'общая таблица'!B52,Лист2!A:A,'общая таблица'!A52)</f>
        <v>5251</v>
      </c>
      <c r="G52" s="7">
        <f>SUMIFS(Лист2!E:E,Лист2!B:B,'общая таблица'!B52,Лист2!A:A,'общая таблица'!A52)</f>
        <v>4853</v>
      </c>
      <c r="H52" s="18">
        <f t="shared" si="0"/>
        <v>551445178815</v>
      </c>
      <c r="I52" t="str">
        <f t="shared" si="1"/>
        <v>среда</v>
      </c>
    </row>
    <row r="53" spans="1:9" ht="14.25" customHeight="1" x14ac:dyDescent="0.3">
      <c r="A53" s="15">
        <v>43965</v>
      </c>
      <c r="B53" s="17" t="s">
        <v>11</v>
      </c>
      <c r="C53" s="23">
        <v>70498.5</v>
      </c>
      <c r="D53" s="23">
        <v>6053649</v>
      </c>
      <c r="E53" s="7">
        <f>SUMIFS(Лист2!C:C,Лист2!B:B,'общая таблица'!B53,Лист2!A:A,'общая таблица'!A53)</f>
        <v>31</v>
      </c>
      <c r="F53" s="7">
        <f>SUMIFS(Лист2!D:D,Лист2!B:B,'общая таблица'!B53,Лист2!A:A,'общая таблица'!A53)</f>
        <v>4695</v>
      </c>
      <c r="G53" s="7">
        <f>SUMIFS(Лист2!E:E,Лист2!B:B,'общая таблица'!B53,Лист2!A:A,'общая таблица'!A53)</f>
        <v>4372</v>
      </c>
      <c r="H53" s="18">
        <f t="shared" si="0"/>
        <v>426773174026.5</v>
      </c>
      <c r="I53" t="str">
        <f t="shared" si="1"/>
        <v>четверг</v>
      </c>
    </row>
    <row r="54" spans="1:9" ht="14.25" customHeight="1" x14ac:dyDescent="0.3">
      <c r="A54" s="14">
        <v>43966</v>
      </c>
      <c r="B54" s="16" t="s">
        <v>11</v>
      </c>
      <c r="C54" s="20">
        <v>78961.5</v>
      </c>
      <c r="D54" s="20">
        <v>6876454.5</v>
      </c>
      <c r="E54" s="7">
        <f>SUMIFS(Лист2!C:C,Лист2!B:B,'общая таблица'!B54,Лист2!A:A,'общая таблица'!A54)</f>
        <v>31</v>
      </c>
      <c r="F54" s="7">
        <f>SUMIFS(Лист2!D:D,Лист2!B:B,'общая таблица'!B54,Лист2!A:A,'общая таблица'!A54)</f>
        <v>5184</v>
      </c>
      <c r="G54" s="7">
        <f>SUMIFS(Лист2!E:E,Лист2!B:B,'общая таблица'!B54,Лист2!A:A,'общая таблица'!A54)</f>
        <v>4778</v>
      </c>
      <c r="H54" s="18">
        <f t="shared" si="0"/>
        <v>542975162001.75</v>
      </c>
      <c r="I54" t="str">
        <f t="shared" si="1"/>
        <v>пятница</v>
      </c>
    </row>
    <row r="55" spans="1:9" ht="14.25" customHeight="1" x14ac:dyDescent="0.3">
      <c r="A55" s="15">
        <v>43967</v>
      </c>
      <c r="B55" s="17" t="s">
        <v>11</v>
      </c>
      <c r="C55" s="23">
        <v>88063.5</v>
      </c>
      <c r="D55" s="23">
        <v>7583758.5</v>
      </c>
      <c r="E55" s="7">
        <f>SUMIFS(Лист2!C:C,Лист2!B:B,'общая таблица'!B55,Лист2!A:A,'общая таблица'!A55)</f>
        <v>31</v>
      </c>
      <c r="F55" s="7">
        <f>SUMIFS(Лист2!D:D,Лист2!B:B,'общая таблица'!B55,Лист2!A:A,'общая таблица'!A55)</f>
        <v>5593</v>
      </c>
      <c r="G55" s="7">
        <f>SUMIFS(Лист2!E:E,Лист2!B:B,'общая таблица'!B55,Лист2!A:A,'общая таблица'!A55)</f>
        <v>5177</v>
      </c>
      <c r="H55" s="18">
        <f t="shared" si="0"/>
        <v>667852316664.75</v>
      </c>
      <c r="I55" t="str">
        <f t="shared" si="1"/>
        <v>суббота</v>
      </c>
    </row>
    <row r="56" spans="1:9" ht="14.25" customHeight="1" x14ac:dyDescent="0.3">
      <c r="A56" s="5">
        <v>43968</v>
      </c>
      <c r="B56" s="6" t="s">
        <v>11</v>
      </c>
      <c r="C56" s="22">
        <v>78057</v>
      </c>
      <c r="D56" s="22">
        <v>6774946.5</v>
      </c>
      <c r="E56" s="7">
        <f>SUMIFS(Лист2!C:C,Лист2!B:B,'общая таблица'!B56,Лист2!A:A,'общая таблица'!A56)</f>
        <v>31</v>
      </c>
      <c r="F56" s="7">
        <f>SUMIFS(Лист2!D:D,Лист2!B:B,'общая таблица'!B56,Лист2!A:A,'общая таблица'!A56)</f>
        <v>5206</v>
      </c>
      <c r="G56" s="7">
        <f>SUMIFS(Лист2!E:E,Лист2!B:B,'общая таблица'!B56,Лист2!A:A,'общая таблица'!A56)</f>
        <v>4843</v>
      </c>
      <c r="H56" s="18">
        <f t="shared" si="0"/>
        <v>528831998950.5</v>
      </c>
      <c r="I56" t="str">
        <f t="shared" si="1"/>
        <v>воскресенье</v>
      </c>
    </row>
    <row r="57" spans="1:9" ht="14.25" customHeight="1" x14ac:dyDescent="0.3">
      <c r="A57" s="8">
        <v>43969</v>
      </c>
      <c r="B57" s="9" t="s">
        <v>11</v>
      </c>
      <c r="C57" s="21">
        <v>78058.5</v>
      </c>
      <c r="D57" s="21">
        <v>6609714</v>
      </c>
      <c r="E57" s="7">
        <f>SUMIFS(Лист2!C:C,Лист2!B:B,'общая таблица'!B57,Лист2!A:A,'общая таблица'!A57)</f>
        <v>31</v>
      </c>
      <c r="F57" s="7">
        <f>SUMIFS(Лист2!D:D,Лист2!B:B,'общая таблица'!B57,Лист2!A:A,'общая таблица'!A57)</f>
        <v>5165</v>
      </c>
      <c r="G57" s="7">
        <f>SUMIFS(Лист2!E:E,Лист2!B:B,'общая таблица'!B57,Лист2!A:A,'общая таблица'!A57)</f>
        <v>4813</v>
      </c>
      <c r="H57" s="18">
        <f t="shared" si="0"/>
        <v>515944360269</v>
      </c>
      <c r="I57" t="str">
        <f t="shared" si="1"/>
        <v>понедельник</v>
      </c>
    </row>
    <row r="58" spans="1:9" ht="14.25" customHeight="1" x14ac:dyDescent="0.3">
      <c r="A58" s="14">
        <v>43970</v>
      </c>
      <c r="B58" s="16" t="s">
        <v>11</v>
      </c>
      <c r="C58" s="20">
        <v>84024</v>
      </c>
      <c r="D58" s="20">
        <v>6815511</v>
      </c>
      <c r="E58" s="7">
        <f>SUMIFS(Лист2!C:C,Лист2!B:B,'общая таблица'!B58,Лист2!A:A,'общая таблица'!A58)</f>
        <v>31</v>
      </c>
      <c r="F58" s="7">
        <f>SUMIFS(Лист2!D:D,Лист2!B:B,'общая таблица'!B58,Лист2!A:A,'общая таблица'!A58)</f>
        <v>5389</v>
      </c>
      <c r="G58" s="7">
        <f>SUMIFS(Лист2!E:E,Лист2!B:B,'общая таблица'!B58,Лист2!A:A,'общая таблица'!A58)</f>
        <v>5024</v>
      </c>
      <c r="H58" s="18">
        <f t="shared" si="0"/>
        <v>572666496264</v>
      </c>
      <c r="I58" t="str">
        <f t="shared" si="1"/>
        <v>вторник</v>
      </c>
    </row>
    <row r="59" spans="1:9" ht="14.25" customHeight="1" x14ac:dyDescent="0.3">
      <c r="A59" s="8">
        <v>43971</v>
      </c>
      <c r="B59" s="9" t="s">
        <v>11</v>
      </c>
      <c r="C59" s="21">
        <v>93313.5</v>
      </c>
      <c r="D59" s="21">
        <v>7247575.5</v>
      </c>
      <c r="E59" s="7">
        <f>SUMIFS(Лист2!C:C,Лист2!B:B,'общая таблица'!B59,Лист2!A:A,'общая таблица'!A59)</f>
        <v>31</v>
      </c>
      <c r="F59" s="7">
        <f>SUMIFS(Лист2!D:D,Лист2!B:B,'общая таблица'!B59,Лист2!A:A,'общая таблица'!A59)</f>
        <v>5698</v>
      </c>
      <c r="G59" s="7">
        <f>SUMIFS(Лист2!E:E,Лист2!B:B,'общая таблица'!B59,Лист2!A:A,'общая таблица'!A59)</f>
        <v>5258</v>
      </c>
      <c r="H59" s="18">
        <f t="shared" si="0"/>
        <v>676296636419.25</v>
      </c>
      <c r="I59" t="str">
        <f t="shared" si="1"/>
        <v>среда</v>
      </c>
    </row>
    <row r="60" spans="1:9" ht="14.25" customHeight="1" x14ac:dyDescent="0.3">
      <c r="A60" s="5">
        <v>43972</v>
      </c>
      <c r="B60" s="6" t="s">
        <v>11</v>
      </c>
      <c r="C60" s="22">
        <v>79485</v>
      </c>
      <c r="D60" s="22">
        <v>6633847.5</v>
      </c>
      <c r="E60" s="7">
        <f>SUMIFS(Лист2!C:C,Лист2!B:B,'общая таблица'!B60,Лист2!A:A,'общая таблица'!A60)</f>
        <v>31</v>
      </c>
      <c r="F60" s="7">
        <f>SUMIFS(Лист2!D:D,Лист2!B:B,'общая таблица'!B60,Лист2!A:A,'общая таблица'!A60)</f>
        <v>5207</v>
      </c>
      <c r="G60" s="7">
        <f>SUMIFS(Лист2!E:E,Лист2!B:B,'общая таблица'!B60,Лист2!A:A,'общая таблица'!A60)</f>
        <v>4868</v>
      </c>
      <c r="H60" s="18">
        <f t="shared" si="0"/>
        <v>527291368537.5</v>
      </c>
      <c r="I60" t="str">
        <f t="shared" si="1"/>
        <v>четверг</v>
      </c>
    </row>
    <row r="61" spans="1:9" ht="14.25" customHeight="1" x14ac:dyDescent="0.3">
      <c r="A61" s="8">
        <v>43973</v>
      </c>
      <c r="B61" s="9" t="s">
        <v>11</v>
      </c>
      <c r="C61" s="21">
        <v>97963.5</v>
      </c>
      <c r="D61" s="21">
        <v>7728465</v>
      </c>
      <c r="E61" s="7">
        <f>SUMIFS(Лист2!C:C,Лист2!B:B,'общая таблица'!B61,Лист2!A:A,'общая таблица'!A61)</f>
        <v>31</v>
      </c>
      <c r="F61" s="7">
        <f>SUMIFS(Лист2!D:D,Лист2!B:B,'общая таблица'!B61,Лист2!A:A,'общая таблица'!A61)</f>
        <v>5965</v>
      </c>
      <c r="G61" s="7">
        <f>SUMIFS(Лист2!E:E,Лист2!B:B,'общая таблица'!B61,Лист2!A:A,'общая таблица'!A61)</f>
        <v>5533</v>
      </c>
      <c r="H61" s="18">
        <f t="shared" si="0"/>
        <v>757107481027.5</v>
      </c>
      <c r="I61" t="str">
        <f t="shared" si="1"/>
        <v>пятница</v>
      </c>
    </row>
    <row r="62" spans="1:9" ht="14.25" customHeight="1" x14ac:dyDescent="0.3">
      <c r="A62" s="14">
        <v>43974</v>
      </c>
      <c r="B62" s="16" t="s">
        <v>11</v>
      </c>
      <c r="C62" s="20">
        <v>102889.5</v>
      </c>
      <c r="D62" s="20">
        <v>8089143</v>
      </c>
      <c r="E62" s="7">
        <f>SUMIFS(Лист2!C:C,Лист2!B:B,'общая таблица'!B62,Лист2!A:A,'общая таблица'!A62)</f>
        <v>31</v>
      </c>
      <c r="F62" s="7">
        <f>SUMIFS(Лист2!D:D,Лист2!B:B,'общая таблица'!B62,Лист2!A:A,'общая таблица'!A62)</f>
        <v>6276</v>
      </c>
      <c r="G62" s="7">
        <f>SUMIFS(Лист2!E:E,Лист2!B:B,'общая таблица'!B62,Лист2!A:A,'общая таблица'!A62)</f>
        <v>5801</v>
      </c>
      <c r="H62" s="18">
        <f t="shared" si="0"/>
        <v>832287878698.5</v>
      </c>
      <c r="I62" t="str">
        <f t="shared" si="1"/>
        <v>суббота</v>
      </c>
    </row>
    <row r="63" spans="1:9" ht="14.25" customHeight="1" x14ac:dyDescent="0.3">
      <c r="A63" s="8">
        <v>43975</v>
      </c>
      <c r="B63" s="9" t="s">
        <v>11</v>
      </c>
      <c r="C63" s="21">
        <v>76663.5</v>
      </c>
      <c r="D63" s="21">
        <v>6451032</v>
      </c>
      <c r="E63" s="7">
        <f>SUMIFS(Лист2!C:C,Лист2!B:B,'общая таблица'!B63,Лист2!A:A,'общая таблица'!A63)</f>
        <v>31</v>
      </c>
      <c r="F63" s="7">
        <f>SUMIFS(Лист2!D:D,Лист2!B:B,'общая таблица'!B63,Лист2!A:A,'общая таблица'!A63)</f>
        <v>5035</v>
      </c>
      <c r="G63" s="7">
        <f>SUMIFS(Лист2!E:E,Лист2!B:B,'общая таблица'!B63,Лист2!A:A,'общая таблица'!A63)</f>
        <v>4683</v>
      </c>
      <c r="H63" s="18">
        <f t="shared" si="0"/>
        <v>494558691732</v>
      </c>
      <c r="I63" t="str">
        <f t="shared" si="1"/>
        <v>воскресенье</v>
      </c>
    </row>
    <row r="64" spans="1:9" ht="14.25" customHeight="1" x14ac:dyDescent="0.3">
      <c r="A64" s="5">
        <v>43976</v>
      </c>
      <c r="B64" s="6" t="s">
        <v>11</v>
      </c>
      <c r="C64" s="22">
        <v>76999.5</v>
      </c>
      <c r="D64" s="22">
        <v>6645603</v>
      </c>
      <c r="E64" s="7">
        <f>SUMIFS(Лист2!C:C,Лист2!B:B,'общая таблица'!B64,Лист2!A:A,'общая таблица'!A64)</f>
        <v>31</v>
      </c>
      <c r="F64" s="7">
        <f>SUMIFS(Лист2!D:D,Лист2!B:B,'общая таблица'!B64,Лист2!A:A,'общая таблица'!A64)</f>
        <v>5210</v>
      </c>
      <c r="G64" s="7">
        <f>SUMIFS(Лист2!E:E,Лист2!B:B,'общая таблица'!B64,Лист2!A:A,'общая таблица'!A64)</f>
        <v>4841</v>
      </c>
      <c r="H64" s="18">
        <f t="shared" si="0"/>
        <v>511708108198.5</v>
      </c>
      <c r="I64" t="str">
        <f t="shared" si="1"/>
        <v>понедельник</v>
      </c>
    </row>
    <row r="65" spans="1:9" ht="14.25" customHeight="1" x14ac:dyDescent="0.3">
      <c r="A65" s="8">
        <v>43977</v>
      </c>
      <c r="B65" s="9" t="s">
        <v>11</v>
      </c>
      <c r="C65" s="21">
        <v>79975.5</v>
      </c>
      <c r="D65" s="21">
        <v>6676459.5</v>
      </c>
      <c r="E65" s="7">
        <f>SUMIFS(Лист2!C:C,Лист2!B:B,'общая таблица'!B65,Лист2!A:A,'общая таблица'!A65)</f>
        <v>31</v>
      </c>
      <c r="F65" s="7">
        <f>SUMIFS(Лист2!D:D,Лист2!B:B,'общая таблица'!B65,Лист2!A:A,'общая таблица'!A65)</f>
        <v>5493</v>
      </c>
      <c r="G65" s="7">
        <f>SUMIFS(Лист2!E:E,Лист2!B:B,'общая таблица'!B65,Лист2!A:A,'общая таблица'!A65)</f>
        <v>5119</v>
      </c>
      <c r="H65" s="18">
        <f t="shared" si="0"/>
        <v>533953186742.25</v>
      </c>
      <c r="I65" t="str">
        <f t="shared" si="1"/>
        <v>вторник</v>
      </c>
    </row>
    <row r="66" spans="1:9" ht="14.25" customHeight="1" x14ac:dyDescent="0.3">
      <c r="A66" s="5">
        <v>43978</v>
      </c>
      <c r="B66" s="6" t="s">
        <v>11</v>
      </c>
      <c r="C66" s="22">
        <v>78544.5</v>
      </c>
      <c r="D66" s="22">
        <v>6701083.5</v>
      </c>
      <c r="E66" s="7">
        <f>SUMIFS(Лист2!C:C,Лист2!B:B,'общая таблица'!B66,Лист2!A:A,'общая таблица'!A66)</f>
        <v>31</v>
      </c>
      <c r="F66" s="7">
        <f>SUMIFS(Лист2!D:D,Лист2!B:B,'общая таблица'!B66,Лист2!A:A,'общая таблица'!A66)</f>
        <v>5330</v>
      </c>
      <c r="G66" s="7">
        <f>SUMIFS(Лист2!E:E,Лист2!B:B,'общая таблица'!B66,Лист2!A:A,'общая таблица'!A66)</f>
        <v>4977</v>
      </c>
      <c r="H66" s="18">
        <f t="shared" si="0"/>
        <v>526333252965.75</v>
      </c>
      <c r="I66" t="str">
        <f t="shared" si="1"/>
        <v>среда</v>
      </c>
    </row>
    <row r="67" spans="1:9" ht="14.25" customHeight="1" x14ac:dyDescent="0.3">
      <c r="A67" s="15">
        <v>43979</v>
      </c>
      <c r="B67" s="17" t="s">
        <v>11</v>
      </c>
      <c r="C67" s="23">
        <v>78141</v>
      </c>
      <c r="D67" s="23">
        <v>6641569.5</v>
      </c>
      <c r="E67" s="7">
        <f>SUMIFS(Лист2!C:C,Лист2!B:B,'общая таблица'!B67,Лист2!A:A,'общая таблица'!A67)</f>
        <v>31</v>
      </c>
      <c r="F67" s="7">
        <f>SUMIFS(Лист2!D:D,Лист2!B:B,'общая таблица'!B67,Лист2!A:A,'общая таблица'!A67)</f>
        <v>5355</v>
      </c>
      <c r="G67" s="7">
        <f>SUMIFS(Лист2!E:E,Лист2!B:B,'общая таблица'!B67,Лист2!A:A,'общая таблица'!A67)</f>
        <v>4969</v>
      </c>
      <c r="H67" s="18">
        <f t="shared" ref="H67:H130" si="2">C67*D67</f>
        <v>518978882299.5</v>
      </c>
      <c r="I67" t="str">
        <f t="shared" ref="I67:I130" si="3">TEXT(A67,"дддд")</f>
        <v>четверг</v>
      </c>
    </row>
    <row r="68" spans="1:9" ht="14.25" customHeight="1" x14ac:dyDescent="0.3">
      <c r="A68" s="5">
        <v>43980</v>
      </c>
      <c r="B68" s="6" t="s">
        <v>11</v>
      </c>
      <c r="C68" s="22">
        <v>87552</v>
      </c>
      <c r="D68" s="22">
        <v>7387116</v>
      </c>
      <c r="E68" s="7">
        <f>SUMIFS(Лист2!C:C,Лист2!B:B,'общая таблица'!B68,Лист2!A:A,'общая таблица'!A68)</f>
        <v>31</v>
      </c>
      <c r="F68" s="7">
        <f>SUMIFS(Лист2!D:D,Лист2!B:B,'общая таблица'!B68,Лист2!A:A,'общая таблица'!A68)</f>
        <v>5751</v>
      </c>
      <c r="G68" s="7">
        <f>SUMIFS(Лист2!E:E,Лист2!B:B,'общая таблица'!B68,Лист2!A:A,'общая таблица'!A68)</f>
        <v>5319</v>
      </c>
      <c r="H68" s="18">
        <f t="shared" si="2"/>
        <v>646756780032</v>
      </c>
      <c r="I68" t="str">
        <f t="shared" si="3"/>
        <v>пятница</v>
      </c>
    </row>
    <row r="69" spans="1:9" ht="14.25" customHeight="1" x14ac:dyDescent="0.3">
      <c r="A69" s="8">
        <v>43981</v>
      </c>
      <c r="B69" s="9" t="s">
        <v>11</v>
      </c>
      <c r="C69" s="21">
        <v>108123</v>
      </c>
      <c r="D69" s="21">
        <v>9164707.5</v>
      </c>
      <c r="E69" s="7">
        <f>SUMIFS(Лист2!C:C,Лист2!B:B,'общая таблица'!B69,Лист2!A:A,'общая таблица'!A69)</f>
        <v>31</v>
      </c>
      <c r="F69" s="7">
        <f>SUMIFS(Лист2!D:D,Лист2!B:B,'общая таблица'!B69,Лист2!A:A,'общая таблица'!A69)</f>
        <v>6735</v>
      </c>
      <c r="G69" s="7">
        <f>SUMIFS(Лист2!E:E,Лист2!B:B,'общая таблица'!B69,Лист2!A:A,'общая таблица'!A69)</f>
        <v>6264</v>
      </c>
      <c r="H69" s="18">
        <f t="shared" si="2"/>
        <v>990915669022.5</v>
      </c>
      <c r="I69" t="str">
        <f t="shared" si="3"/>
        <v>суббота</v>
      </c>
    </row>
    <row r="70" spans="1:9" ht="14.25" customHeight="1" x14ac:dyDescent="0.3">
      <c r="A70" s="14">
        <v>43982</v>
      </c>
      <c r="B70" s="16" t="s">
        <v>11</v>
      </c>
      <c r="C70" s="20">
        <v>89149.5</v>
      </c>
      <c r="D70" s="20">
        <v>7512646.5</v>
      </c>
      <c r="E70" s="7">
        <f>SUMIFS(Лист2!C:C,Лист2!B:B,'общая таблица'!B70,Лист2!A:A,'общая таблица'!A70)</f>
        <v>31</v>
      </c>
      <c r="F70" s="7">
        <f>SUMIFS(Лист2!D:D,Лист2!B:B,'общая таблица'!B70,Лист2!A:A,'общая таблица'!A70)</f>
        <v>5760</v>
      </c>
      <c r="G70" s="7">
        <f>SUMIFS(Лист2!E:E,Лист2!B:B,'общая таблица'!B70,Лист2!A:A,'общая таблица'!A70)</f>
        <v>5367</v>
      </c>
      <c r="H70" s="18">
        <f t="shared" si="2"/>
        <v>669748679151.75</v>
      </c>
      <c r="I70" t="str">
        <f t="shared" si="3"/>
        <v>воскресенье</v>
      </c>
    </row>
    <row r="71" spans="1:9" ht="14.25" customHeight="1" x14ac:dyDescent="0.3">
      <c r="A71" s="15">
        <v>43983</v>
      </c>
      <c r="B71" s="17" t="s">
        <v>11</v>
      </c>
      <c r="C71" s="23">
        <v>77269.5</v>
      </c>
      <c r="D71" s="23">
        <v>6829921.5</v>
      </c>
      <c r="E71" s="7">
        <f>SUMIFS(Лист2!C:C,Лист2!B:B,'общая таблица'!B71,Лист2!A:A,'общая таблица'!A71)</f>
        <v>31</v>
      </c>
      <c r="F71" s="7">
        <f>SUMIFS(Лист2!D:D,Лист2!B:B,'общая таблица'!B71,Лист2!A:A,'общая таблица'!A71)</f>
        <v>5468</v>
      </c>
      <c r="G71" s="7">
        <f>SUMIFS(Лист2!E:E,Лист2!B:B,'общая таблица'!B71,Лист2!A:A,'общая таблица'!A71)</f>
        <v>5081</v>
      </c>
      <c r="H71" s="18">
        <f t="shared" si="2"/>
        <v>527744619344.25</v>
      </c>
      <c r="I71" t="str">
        <f t="shared" si="3"/>
        <v>понедельник</v>
      </c>
    </row>
    <row r="72" spans="1:9" ht="14.25" customHeight="1" x14ac:dyDescent="0.3">
      <c r="A72" s="5">
        <v>43949</v>
      </c>
      <c r="B72" s="6" t="s">
        <v>17</v>
      </c>
      <c r="C72" s="22">
        <v>32181</v>
      </c>
      <c r="D72" s="22">
        <v>2863600.5</v>
      </c>
      <c r="E72" s="7">
        <f>SUMIFS(Лист2!C:C,Лист2!B:B,'общая таблица'!B72,Лист2!A:A,'общая таблица'!A72)</f>
        <v>19</v>
      </c>
      <c r="F72" s="7">
        <f>SUMIFS(Лист2!D:D,Лист2!B:B,'общая таблица'!B72,Лист2!A:A,'общая таблица'!A72)</f>
        <v>1846</v>
      </c>
      <c r="G72" s="7">
        <f>SUMIFS(Лист2!E:E,Лист2!B:B,'общая таблица'!B72,Лист2!A:A,'общая таблица'!A72)</f>
        <v>1681</v>
      </c>
      <c r="H72" s="18">
        <f t="shared" si="2"/>
        <v>92153527690.5</v>
      </c>
      <c r="I72" t="str">
        <f t="shared" si="3"/>
        <v>вторник</v>
      </c>
    </row>
    <row r="73" spans="1:9" ht="14.25" customHeight="1" x14ac:dyDescent="0.3">
      <c r="A73" s="15">
        <v>43950</v>
      </c>
      <c r="B73" s="17" t="s">
        <v>17</v>
      </c>
      <c r="C73" s="23">
        <v>29142</v>
      </c>
      <c r="D73" s="23">
        <v>2627595</v>
      </c>
      <c r="E73" s="7">
        <f>SUMIFS(Лист2!C:C,Лист2!B:B,'общая таблица'!B73,Лист2!A:A,'общая таблица'!A73)</f>
        <v>19</v>
      </c>
      <c r="F73" s="7">
        <f>SUMIFS(Лист2!D:D,Лист2!B:B,'общая таблица'!B73,Лист2!A:A,'общая таблица'!A73)</f>
        <v>1676</v>
      </c>
      <c r="G73" s="7">
        <f>SUMIFS(Лист2!E:E,Лист2!B:B,'общая таблица'!B73,Лист2!A:A,'общая таблица'!A73)</f>
        <v>1516</v>
      </c>
      <c r="H73" s="18">
        <f t="shared" si="2"/>
        <v>76573373490</v>
      </c>
      <c r="I73" t="str">
        <f t="shared" si="3"/>
        <v>среда</v>
      </c>
    </row>
    <row r="74" spans="1:9" ht="14.25" customHeight="1" x14ac:dyDescent="0.3">
      <c r="A74" s="14">
        <v>43951</v>
      </c>
      <c r="B74" s="16" t="s">
        <v>17</v>
      </c>
      <c r="C74" s="20">
        <v>31231.5</v>
      </c>
      <c r="D74" s="20">
        <v>2853310.5</v>
      </c>
      <c r="E74" s="7">
        <f>SUMIFS(Лист2!C:C,Лист2!B:B,'общая таблица'!B74,Лист2!A:A,'общая таблица'!A74)</f>
        <v>20</v>
      </c>
      <c r="F74" s="7">
        <f>SUMIFS(Лист2!D:D,Лист2!B:B,'общая таблица'!B74,Лист2!A:A,'общая таблица'!A74)</f>
        <v>1756</v>
      </c>
      <c r="G74" s="7">
        <f>SUMIFS(Лист2!E:E,Лист2!B:B,'общая таблица'!B74,Лист2!A:A,'общая таблица'!A74)</f>
        <v>1586</v>
      </c>
      <c r="H74" s="18">
        <f t="shared" si="2"/>
        <v>89113166880.75</v>
      </c>
      <c r="I74" t="str">
        <f t="shared" si="3"/>
        <v>четверг</v>
      </c>
    </row>
    <row r="75" spans="1:9" ht="14.25" customHeight="1" x14ac:dyDescent="0.3">
      <c r="A75" s="8">
        <v>43952</v>
      </c>
      <c r="B75" s="9" t="s">
        <v>17</v>
      </c>
      <c r="C75" s="21">
        <v>46620</v>
      </c>
      <c r="D75" s="21">
        <v>4293241.5</v>
      </c>
      <c r="E75" s="7">
        <f>SUMIFS(Лист2!C:C,Лист2!B:B,'общая таблица'!B75,Лист2!A:A,'общая таблица'!A75)</f>
        <v>20</v>
      </c>
      <c r="F75" s="7">
        <f>SUMIFS(Лист2!D:D,Лист2!B:B,'общая таблица'!B75,Лист2!A:A,'общая таблица'!A75)</f>
        <v>2468</v>
      </c>
      <c r="G75" s="7">
        <f>SUMIFS(Лист2!E:E,Лист2!B:B,'общая таблица'!B75,Лист2!A:A,'общая таблица'!A75)</f>
        <v>2221</v>
      </c>
      <c r="H75" s="18">
        <f t="shared" si="2"/>
        <v>200150918730</v>
      </c>
      <c r="I75" t="str">
        <f t="shared" si="3"/>
        <v>пятница</v>
      </c>
    </row>
    <row r="76" spans="1:9" ht="14.25" customHeight="1" x14ac:dyDescent="0.3">
      <c r="A76" s="14">
        <v>43953</v>
      </c>
      <c r="B76" s="16" t="s">
        <v>17</v>
      </c>
      <c r="C76" s="20">
        <v>26428.5</v>
      </c>
      <c r="D76" s="20">
        <v>2470465.5</v>
      </c>
      <c r="E76" s="7">
        <f>SUMIFS(Лист2!C:C,Лист2!B:B,'общая таблица'!B76,Лист2!A:A,'общая таблица'!A76)</f>
        <v>20</v>
      </c>
      <c r="F76" s="7">
        <f>SUMIFS(Лист2!D:D,Лист2!B:B,'общая таблица'!B76,Лист2!A:A,'общая таблица'!A76)</f>
        <v>1613</v>
      </c>
      <c r="G76" s="7">
        <f>SUMIFS(Лист2!E:E,Лист2!B:B,'общая таблица'!B76,Лист2!A:A,'общая таблица'!A76)</f>
        <v>1457</v>
      </c>
      <c r="H76" s="18">
        <f t="shared" si="2"/>
        <v>65290697466.75</v>
      </c>
      <c r="I76" t="str">
        <f t="shared" si="3"/>
        <v>суббота</v>
      </c>
    </row>
    <row r="77" spans="1:9" ht="14.25" customHeight="1" x14ac:dyDescent="0.3">
      <c r="A77" s="8">
        <v>43954</v>
      </c>
      <c r="B77" s="9" t="s">
        <v>17</v>
      </c>
      <c r="C77" s="21">
        <v>29935.5</v>
      </c>
      <c r="D77" s="21">
        <v>2720002.5</v>
      </c>
      <c r="E77" s="7">
        <f>SUMIFS(Лист2!C:C,Лист2!B:B,'общая таблица'!B77,Лист2!A:A,'общая таблица'!A77)</f>
        <v>20</v>
      </c>
      <c r="F77" s="7">
        <f>SUMIFS(Лист2!D:D,Лист2!B:B,'общая таблица'!B77,Лист2!A:A,'общая таблица'!A77)</f>
        <v>1716</v>
      </c>
      <c r="G77" s="7">
        <f>SUMIFS(Лист2!E:E,Лист2!B:B,'общая таблица'!B77,Лист2!A:A,'общая таблица'!A77)</f>
        <v>1561</v>
      </c>
      <c r="H77" s="18">
        <f t="shared" si="2"/>
        <v>81424634838.75</v>
      </c>
      <c r="I77" t="str">
        <f t="shared" si="3"/>
        <v>воскресенье</v>
      </c>
    </row>
    <row r="78" spans="1:9" ht="14.25" customHeight="1" x14ac:dyDescent="0.3">
      <c r="A78" s="14">
        <v>43955</v>
      </c>
      <c r="B78" s="16" t="s">
        <v>17</v>
      </c>
      <c r="C78" s="20">
        <v>30780</v>
      </c>
      <c r="D78" s="20">
        <v>2817853.5</v>
      </c>
      <c r="E78" s="7">
        <f>SUMIFS(Лист2!C:C,Лист2!B:B,'общая таблица'!B78,Лист2!A:A,'общая таблица'!A78)</f>
        <v>20</v>
      </c>
      <c r="F78" s="7">
        <f>SUMIFS(Лист2!D:D,Лист2!B:B,'общая таблица'!B78,Лист2!A:A,'общая таблица'!A78)</f>
        <v>1804</v>
      </c>
      <c r="G78" s="7">
        <f>SUMIFS(Лист2!E:E,Лист2!B:B,'общая таблица'!B78,Лист2!A:A,'общая таблица'!A78)</f>
        <v>1638</v>
      </c>
      <c r="H78" s="18">
        <f t="shared" si="2"/>
        <v>86733530730</v>
      </c>
      <c r="I78" t="str">
        <f t="shared" si="3"/>
        <v>понедельник</v>
      </c>
    </row>
    <row r="79" spans="1:9" ht="14.25" customHeight="1" x14ac:dyDescent="0.3">
      <c r="A79" s="8">
        <v>43956</v>
      </c>
      <c r="B79" s="9" t="s">
        <v>17</v>
      </c>
      <c r="C79" s="21">
        <v>29482.5</v>
      </c>
      <c r="D79" s="21">
        <v>2648688</v>
      </c>
      <c r="E79" s="7">
        <f>SUMIFS(Лист2!C:C,Лист2!B:B,'общая таблица'!B79,Лист2!A:A,'общая таблица'!A79)</f>
        <v>20</v>
      </c>
      <c r="F79" s="7">
        <f>SUMIFS(Лист2!D:D,Лист2!B:B,'общая таблица'!B79,Лист2!A:A,'общая таблица'!A79)</f>
        <v>1757</v>
      </c>
      <c r="G79" s="7">
        <f>SUMIFS(Лист2!E:E,Лист2!B:B,'общая таблица'!B79,Лист2!A:A,'общая таблица'!A79)</f>
        <v>1596</v>
      </c>
      <c r="H79" s="18">
        <f t="shared" si="2"/>
        <v>78089943960</v>
      </c>
      <c r="I79" t="str">
        <f t="shared" si="3"/>
        <v>вторник</v>
      </c>
    </row>
    <row r="80" spans="1:9" ht="14.25" customHeight="1" x14ac:dyDescent="0.3">
      <c r="A80" s="14">
        <v>43957</v>
      </c>
      <c r="B80" s="16" t="s">
        <v>17</v>
      </c>
      <c r="C80" s="20">
        <v>30342</v>
      </c>
      <c r="D80" s="20">
        <v>2738127</v>
      </c>
      <c r="E80" s="7">
        <f>SUMIFS(Лист2!C:C,Лист2!B:B,'общая таблица'!B80,Лист2!A:A,'общая таблица'!A80)</f>
        <v>20</v>
      </c>
      <c r="F80" s="7">
        <f>SUMIFS(Лист2!D:D,Лист2!B:B,'общая таблица'!B80,Лист2!A:A,'общая таблица'!A80)</f>
        <v>1747</v>
      </c>
      <c r="G80" s="7">
        <f>SUMIFS(Лист2!E:E,Лист2!B:B,'общая таблица'!B80,Лист2!A:A,'общая таблица'!A80)</f>
        <v>1570</v>
      </c>
      <c r="H80" s="18">
        <f t="shared" si="2"/>
        <v>83080249434</v>
      </c>
      <c r="I80" t="str">
        <f t="shared" si="3"/>
        <v>среда</v>
      </c>
    </row>
    <row r="81" spans="1:9" ht="14.25" customHeight="1" x14ac:dyDescent="0.3">
      <c r="A81" s="15">
        <v>43958</v>
      </c>
      <c r="B81" s="17" t="s">
        <v>17</v>
      </c>
      <c r="C81" s="23">
        <v>32851.5</v>
      </c>
      <c r="D81" s="23">
        <v>2934504</v>
      </c>
      <c r="E81" s="7">
        <f>SUMIFS(Лист2!C:C,Лист2!B:B,'общая таблица'!B81,Лист2!A:A,'общая таблица'!A81)</f>
        <v>21</v>
      </c>
      <c r="F81" s="7">
        <f>SUMIFS(Лист2!D:D,Лист2!B:B,'общая таблица'!B81,Лист2!A:A,'общая таблица'!A81)</f>
        <v>1879</v>
      </c>
      <c r="G81" s="7">
        <f>SUMIFS(Лист2!E:E,Лист2!B:B,'общая таблица'!B81,Лист2!A:A,'общая таблица'!A81)</f>
        <v>1695</v>
      </c>
      <c r="H81" s="18">
        <f t="shared" si="2"/>
        <v>96402858156</v>
      </c>
      <c r="I81" t="str">
        <f t="shared" si="3"/>
        <v>четверг</v>
      </c>
    </row>
    <row r="82" spans="1:9" ht="14.25" customHeight="1" x14ac:dyDescent="0.3">
      <c r="A82" s="14">
        <v>43959</v>
      </c>
      <c r="B82" s="16" t="s">
        <v>17</v>
      </c>
      <c r="C82" s="20">
        <v>34399.5</v>
      </c>
      <c r="D82" s="20">
        <v>3201358.5</v>
      </c>
      <c r="E82" s="7">
        <f>SUMIFS(Лист2!C:C,Лист2!B:B,'общая таблица'!B82,Лист2!A:A,'общая таблица'!A82)</f>
        <v>21</v>
      </c>
      <c r="F82" s="7">
        <f>SUMIFS(Лист2!D:D,Лист2!B:B,'общая таблица'!B82,Лист2!A:A,'общая таблица'!A82)</f>
        <v>1957</v>
      </c>
      <c r="G82" s="7">
        <f>SUMIFS(Лист2!E:E,Лист2!B:B,'общая таблица'!B82,Лист2!A:A,'общая таблица'!A82)</f>
        <v>1755</v>
      </c>
      <c r="H82" s="18">
        <f t="shared" si="2"/>
        <v>110125131720.75</v>
      </c>
      <c r="I82" t="str">
        <f t="shared" si="3"/>
        <v>пятница</v>
      </c>
    </row>
    <row r="83" spans="1:9" ht="14.25" customHeight="1" x14ac:dyDescent="0.3">
      <c r="A83" s="15">
        <v>43960</v>
      </c>
      <c r="B83" s="17" t="s">
        <v>17</v>
      </c>
      <c r="C83" s="23">
        <v>32239.5</v>
      </c>
      <c r="D83" s="23">
        <v>3084892.5</v>
      </c>
      <c r="E83" s="7">
        <f>SUMIFS(Лист2!C:C,Лист2!B:B,'общая таблица'!B83,Лист2!A:A,'общая таблица'!A83)</f>
        <v>21</v>
      </c>
      <c r="F83" s="7">
        <f>SUMIFS(Лист2!D:D,Лист2!B:B,'общая таблица'!B83,Лист2!A:A,'общая таблица'!A83)</f>
        <v>1891</v>
      </c>
      <c r="G83" s="7">
        <f>SUMIFS(Лист2!E:E,Лист2!B:B,'общая таблица'!B83,Лист2!A:A,'общая таблица'!A83)</f>
        <v>1709</v>
      </c>
      <c r="H83" s="18">
        <f t="shared" si="2"/>
        <v>99455391753.75</v>
      </c>
      <c r="I83" t="str">
        <f t="shared" si="3"/>
        <v>суббота</v>
      </c>
    </row>
    <row r="84" spans="1:9" ht="14.25" customHeight="1" x14ac:dyDescent="0.3">
      <c r="A84" s="5">
        <v>43961</v>
      </c>
      <c r="B84" s="6" t="s">
        <v>17</v>
      </c>
      <c r="C84" s="22">
        <v>37489.5</v>
      </c>
      <c r="D84" s="22">
        <v>3549097.5</v>
      </c>
      <c r="E84" s="7">
        <f>SUMIFS(Лист2!C:C,Лист2!B:B,'общая таблица'!B84,Лист2!A:A,'общая таблица'!A84)</f>
        <v>21</v>
      </c>
      <c r="F84" s="7">
        <f>SUMIFS(Лист2!D:D,Лист2!B:B,'общая таблица'!B84,Лист2!A:A,'общая таблица'!A84)</f>
        <v>2120</v>
      </c>
      <c r="G84" s="7">
        <f>SUMIFS(Лист2!E:E,Лист2!B:B,'общая таблица'!B84,Лист2!A:A,'общая таблица'!A84)</f>
        <v>1921</v>
      </c>
      <c r="H84" s="18">
        <f t="shared" si="2"/>
        <v>133053890726.25</v>
      </c>
      <c r="I84" t="str">
        <f t="shared" si="3"/>
        <v>воскресенье</v>
      </c>
    </row>
    <row r="85" spans="1:9" ht="14.25" customHeight="1" x14ac:dyDescent="0.3">
      <c r="A85" s="8">
        <v>43962</v>
      </c>
      <c r="B85" s="9" t="s">
        <v>17</v>
      </c>
      <c r="C85" s="21">
        <v>32733</v>
      </c>
      <c r="D85" s="21">
        <v>3079630.5</v>
      </c>
      <c r="E85" s="7">
        <f>SUMIFS(Лист2!C:C,Лист2!B:B,'общая таблица'!B85,Лист2!A:A,'общая таблица'!A85)</f>
        <v>21</v>
      </c>
      <c r="F85" s="7">
        <f>SUMIFS(Лист2!D:D,Лист2!B:B,'общая таблица'!B85,Лист2!A:A,'общая таблица'!A85)</f>
        <v>1916</v>
      </c>
      <c r="G85" s="7">
        <f>SUMIFS(Лист2!E:E,Лист2!B:B,'общая таблица'!B85,Лист2!A:A,'общая таблица'!A85)</f>
        <v>1733</v>
      </c>
      <c r="H85" s="18">
        <f t="shared" si="2"/>
        <v>100805545156.5</v>
      </c>
      <c r="I85" t="str">
        <f t="shared" si="3"/>
        <v>понедельник</v>
      </c>
    </row>
    <row r="86" spans="1:9" ht="14.25" customHeight="1" x14ac:dyDescent="0.3">
      <c r="A86" s="5">
        <v>43963</v>
      </c>
      <c r="B86" s="6" t="s">
        <v>17</v>
      </c>
      <c r="C86" s="22">
        <v>32419.5</v>
      </c>
      <c r="D86" s="22">
        <v>3080614.5</v>
      </c>
      <c r="E86" s="7">
        <f>SUMIFS(Лист2!C:C,Лист2!B:B,'общая таблица'!B86,Лист2!A:A,'общая таблица'!A86)</f>
        <v>21</v>
      </c>
      <c r="F86" s="7">
        <f>SUMIFS(Лист2!D:D,Лист2!B:B,'общая таблица'!B86,Лист2!A:A,'общая таблица'!A86)</f>
        <v>1926</v>
      </c>
      <c r="G86" s="7">
        <f>SUMIFS(Лист2!E:E,Лист2!B:B,'общая таблица'!B86,Лист2!A:A,'общая таблица'!A86)</f>
        <v>1745</v>
      </c>
      <c r="H86" s="18">
        <f t="shared" si="2"/>
        <v>99871981782.75</v>
      </c>
      <c r="I86" t="str">
        <f t="shared" si="3"/>
        <v>вторник</v>
      </c>
    </row>
    <row r="87" spans="1:9" ht="14.25" customHeight="1" x14ac:dyDescent="0.3">
      <c r="A87" s="8">
        <v>43964</v>
      </c>
      <c r="B87" s="9" t="s">
        <v>17</v>
      </c>
      <c r="C87" s="21">
        <v>35535</v>
      </c>
      <c r="D87" s="21">
        <v>3288069</v>
      </c>
      <c r="E87" s="7">
        <f>SUMIFS(Лист2!C:C,Лист2!B:B,'общая таблица'!B87,Лист2!A:A,'общая таблица'!A87)</f>
        <v>21</v>
      </c>
      <c r="F87" s="7">
        <f>SUMIFS(Лист2!D:D,Лист2!B:B,'общая таблица'!B87,Лист2!A:A,'общая таблица'!A87)</f>
        <v>2061</v>
      </c>
      <c r="G87" s="7">
        <f>SUMIFS(Лист2!E:E,Лист2!B:B,'общая таблица'!B87,Лист2!A:A,'общая таблица'!A87)</f>
        <v>1876</v>
      </c>
      <c r="H87" s="18">
        <f t="shared" si="2"/>
        <v>116841531915</v>
      </c>
      <c r="I87" t="str">
        <f t="shared" si="3"/>
        <v>среда</v>
      </c>
    </row>
    <row r="88" spans="1:9" ht="14.25" customHeight="1" x14ac:dyDescent="0.3">
      <c r="A88" s="5">
        <v>43965</v>
      </c>
      <c r="B88" s="6" t="s">
        <v>17</v>
      </c>
      <c r="C88" s="22">
        <v>33886.5</v>
      </c>
      <c r="D88" s="22">
        <v>3166479</v>
      </c>
      <c r="E88" s="7">
        <f>SUMIFS(Лист2!C:C,Лист2!B:B,'общая таблица'!B88,Лист2!A:A,'общая таблица'!A88)</f>
        <v>21</v>
      </c>
      <c r="F88" s="7">
        <f>SUMIFS(Лист2!D:D,Лист2!B:B,'общая таблица'!B88,Лист2!A:A,'общая таблица'!A88)</f>
        <v>1993</v>
      </c>
      <c r="G88" s="7">
        <f>SUMIFS(Лист2!E:E,Лист2!B:B,'общая таблица'!B88,Лист2!A:A,'общая таблица'!A88)</f>
        <v>1796</v>
      </c>
      <c r="H88" s="18">
        <f t="shared" si="2"/>
        <v>107300890633.5</v>
      </c>
      <c r="I88" t="str">
        <f t="shared" si="3"/>
        <v>четверг</v>
      </c>
    </row>
    <row r="89" spans="1:9" ht="14.25" customHeight="1" x14ac:dyDescent="0.3">
      <c r="A89" s="8">
        <v>43966</v>
      </c>
      <c r="B89" s="9" t="s">
        <v>17</v>
      </c>
      <c r="C89" s="21">
        <v>41697</v>
      </c>
      <c r="D89" s="21">
        <v>3772258.5</v>
      </c>
      <c r="E89" s="7">
        <f>SUMIFS(Лист2!C:C,Лист2!B:B,'общая таблица'!B89,Лист2!A:A,'общая таблица'!A89)</f>
        <v>21</v>
      </c>
      <c r="F89" s="7">
        <f>SUMIFS(Лист2!D:D,Лист2!B:B,'общая таблица'!B89,Лист2!A:A,'общая таблица'!A89)</f>
        <v>2255</v>
      </c>
      <c r="G89" s="7">
        <f>SUMIFS(Лист2!E:E,Лист2!B:B,'общая таблица'!B89,Лист2!A:A,'общая таблица'!A89)</f>
        <v>2045</v>
      </c>
      <c r="H89" s="18">
        <f t="shared" si="2"/>
        <v>157291862674.5</v>
      </c>
      <c r="I89" t="str">
        <f t="shared" si="3"/>
        <v>пятница</v>
      </c>
    </row>
    <row r="90" spans="1:9" ht="14.25" customHeight="1" x14ac:dyDescent="0.3">
      <c r="A90" s="14">
        <v>43967</v>
      </c>
      <c r="B90" s="16" t="s">
        <v>17</v>
      </c>
      <c r="C90" s="20">
        <v>44560.5</v>
      </c>
      <c r="D90" s="20">
        <v>4025148</v>
      </c>
      <c r="E90" s="7">
        <f>SUMIFS(Лист2!C:C,Лист2!B:B,'общая таблица'!B90,Лист2!A:A,'общая таблица'!A90)</f>
        <v>21</v>
      </c>
      <c r="F90" s="7">
        <f>SUMIFS(Лист2!D:D,Лист2!B:B,'общая таблица'!B90,Лист2!A:A,'общая таблица'!A90)</f>
        <v>2427</v>
      </c>
      <c r="G90" s="7">
        <f>SUMIFS(Лист2!E:E,Лист2!B:B,'общая таблица'!B90,Лист2!A:A,'общая таблица'!A90)</f>
        <v>2213</v>
      </c>
      <c r="H90" s="18">
        <f t="shared" si="2"/>
        <v>179362607454</v>
      </c>
      <c r="I90" t="str">
        <f t="shared" si="3"/>
        <v>суббота</v>
      </c>
    </row>
    <row r="91" spans="1:9" ht="14.25" customHeight="1" x14ac:dyDescent="0.3">
      <c r="A91" s="8">
        <v>43968</v>
      </c>
      <c r="B91" s="9" t="s">
        <v>17</v>
      </c>
      <c r="C91" s="21">
        <v>34830</v>
      </c>
      <c r="D91" s="21">
        <v>3191155.5</v>
      </c>
      <c r="E91" s="7">
        <f>SUMIFS(Лист2!C:C,Лист2!B:B,'общая таблица'!B91,Лист2!A:A,'общая таблица'!A91)</f>
        <v>21</v>
      </c>
      <c r="F91" s="7">
        <f>SUMIFS(Лист2!D:D,Лист2!B:B,'общая таблица'!B91,Лист2!A:A,'общая таблица'!A91)</f>
        <v>2054</v>
      </c>
      <c r="G91" s="7">
        <f>SUMIFS(Лист2!E:E,Лист2!B:B,'общая таблица'!B91,Лист2!A:A,'общая таблица'!A91)</f>
        <v>1883</v>
      </c>
      <c r="H91" s="18">
        <f t="shared" si="2"/>
        <v>111147946065</v>
      </c>
      <c r="I91" t="str">
        <f t="shared" si="3"/>
        <v>воскресенье</v>
      </c>
    </row>
    <row r="92" spans="1:9" ht="14.25" customHeight="1" x14ac:dyDescent="0.3">
      <c r="A92" s="14">
        <v>43969</v>
      </c>
      <c r="B92" s="16" t="s">
        <v>17</v>
      </c>
      <c r="C92" s="20">
        <v>36655.5</v>
      </c>
      <c r="D92" s="20">
        <v>3360135</v>
      </c>
      <c r="E92" s="7">
        <f>SUMIFS(Лист2!C:C,Лист2!B:B,'общая таблица'!B92,Лист2!A:A,'общая таблица'!A92)</f>
        <v>21</v>
      </c>
      <c r="F92" s="7">
        <f>SUMIFS(Лист2!D:D,Лист2!B:B,'общая таблица'!B92,Лист2!A:A,'общая таблица'!A92)</f>
        <v>2136</v>
      </c>
      <c r="G92" s="7">
        <f>SUMIFS(Лист2!E:E,Лист2!B:B,'общая таблица'!B92,Лист2!A:A,'общая таблица'!A92)</f>
        <v>1947</v>
      </c>
      <c r="H92" s="18">
        <f t="shared" si="2"/>
        <v>123167428492.5</v>
      </c>
      <c r="I92" t="str">
        <f t="shared" si="3"/>
        <v>понедельник</v>
      </c>
    </row>
    <row r="93" spans="1:9" ht="14.25" customHeight="1" x14ac:dyDescent="0.3">
      <c r="A93" s="15">
        <v>43970</v>
      </c>
      <c r="B93" s="17" t="s">
        <v>17</v>
      </c>
      <c r="C93" s="23">
        <v>38250</v>
      </c>
      <c r="D93" s="23">
        <v>3552937.5</v>
      </c>
      <c r="E93" s="7">
        <f>SUMIFS(Лист2!C:C,Лист2!B:B,'общая таблица'!B93,Лист2!A:A,'общая таблица'!A93)</f>
        <v>21</v>
      </c>
      <c r="F93" s="7">
        <f>SUMIFS(Лист2!D:D,Лист2!B:B,'общая таблица'!B93,Лист2!A:A,'общая таблица'!A93)</f>
        <v>2245</v>
      </c>
      <c r="G93" s="7">
        <f>SUMIFS(Лист2!E:E,Лист2!B:B,'общая таблица'!B93,Лист2!A:A,'общая таблица'!A93)</f>
        <v>2053</v>
      </c>
      <c r="H93" s="18">
        <f t="shared" si="2"/>
        <v>135899859375</v>
      </c>
      <c r="I93" t="str">
        <f t="shared" si="3"/>
        <v>вторник</v>
      </c>
    </row>
    <row r="94" spans="1:9" ht="14.25" customHeight="1" x14ac:dyDescent="0.3">
      <c r="A94" s="5">
        <v>43971</v>
      </c>
      <c r="B94" s="6" t="s">
        <v>17</v>
      </c>
      <c r="C94" s="22">
        <v>41391</v>
      </c>
      <c r="D94" s="22">
        <v>3918987</v>
      </c>
      <c r="E94" s="7">
        <f>SUMIFS(Лист2!C:C,Лист2!B:B,'общая таблица'!B94,Лист2!A:A,'общая таблица'!A94)</f>
        <v>21</v>
      </c>
      <c r="F94" s="7">
        <f>SUMIFS(Лист2!D:D,Лист2!B:B,'общая таблица'!B94,Лист2!A:A,'общая таблица'!A94)</f>
        <v>2410</v>
      </c>
      <c r="G94" s="7">
        <f>SUMIFS(Лист2!E:E,Лист2!B:B,'общая таблица'!B94,Лист2!A:A,'общая таблица'!A94)</f>
        <v>2202</v>
      </c>
      <c r="H94" s="18">
        <f t="shared" si="2"/>
        <v>162210790917</v>
      </c>
      <c r="I94" t="str">
        <f t="shared" si="3"/>
        <v>среда</v>
      </c>
    </row>
    <row r="95" spans="1:9" ht="14.25" customHeight="1" x14ac:dyDescent="0.3">
      <c r="A95" s="8">
        <v>43972</v>
      </c>
      <c r="B95" s="9" t="s">
        <v>17</v>
      </c>
      <c r="C95" s="21">
        <v>40819.5</v>
      </c>
      <c r="D95" s="21">
        <v>3810394.5</v>
      </c>
      <c r="E95" s="7">
        <f>SUMIFS(Лист2!C:C,Лист2!B:B,'общая таблица'!B95,Лист2!A:A,'общая таблица'!A95)</f>
        <v>21</v>
      </c>
      <c r="F95" s="7">
        <f>SUMIFS(Лист2!D:D,Лист2!B:B,'общая таблица'!B95,Лист2!A:A,'общая таблица'!A95)</f>
        <v>2335</v>
      </c>
      <c r="G95" s="7">
        <f>SUMIFS(Лист2!E:E,Лист2!B:B,'общая таблица'!B95,Лист2!A:A,'общая таблица'!A95)</f>
        <v>2126</v>
      </c>
      <c r="H95" s="18">
        <f t="shared" si="2"/>
        <v>155538398292.75</v>
      </c>
      <c r="I95" t="str">
        <f t="shared" si="3"/>
        <v>четверг</v>
      </c>
    </row>
    <row r="96" spans="1:9" ht="14.25" customHeight="1" x14ac:dyDescent="0.3">
      <c r="A96" s="14">
        <v>43973</v>
      </c>
      <c r="B96" s="16" t="s">
        <v>17</v>
      </c>
      <c r="C96" s="20">
        <v>53838</v>
      </c>
      <c r="D96" s="20">
        <v>4840833</v>
      </c>
      <c r="E96" s="7">
        <f>SUMIFS(Лист2!C:C,Лист2!B:B,'общая таблица'!B96,Лист2!A:A,'общая таблица'!A96)</f>
        <v>21</v>
      </c>
      <c r="F96" s="7">
        <f>SUMIFS(Лист2!D:D,Лист2!B:B,'общая таблица'!B96,Лист2!A:A,'общая таблица'!A96)</f>
        <v>2861</v>
      </c>
      <c r="G96" s="7">
        <f>SUMIFS(Лист2!E:E,Лист2!B:B,'общая таблица'!B96,Лист2!A:A,'общая таблица'!A96)</f>
        <v>2612</v>
      </c>
      <c r="H96" s="18">
        <f t="shared" si="2"/>
        <v>260620767054</v>
      </c>
      <c r="I96" t="str">
        <f t="shared" si="3"/>
        <v>пятница</v>
      </c>
    </row>
    <row r="97" spans="1:9" ht="14.25" customHeight="1" x14ac:dyDescent="0.3">
      <c r="A97" s="15">
        <v>43974</v>
      </c>
      <c r="B97" s="17" t="s">
        <v>17</v>
      </c>
      <c r="C97" s="23">
        <v>42999</v>
      </c>
      <c r="D97" s="23">
        <v>3883215</v>
      </c>
      <c r="E97" s="7">
        <f>SUMIFS(Лист2!C:C,Лист2!B:B,'общая таблица'!B97,Лист2!A:A,'общая таблица'!A97)</f>
        <v>21</v>
      </c>
      <c r="F97" s="7">
        <f>SUMIFS(Лист2!D:D,Лист2!B:B,'общая таблица'!B97,Лист2!A:A,'общая таблица'!A97)</f>
        <v>2460</v>
      </c>
      <c r="G97" s="7">
        <f>SUMIFS(Лист2!E:E,Лист2!B:B,'общая таблица'!B97,Лист2!A:A,'общая таблица'!A97)</f>
        <v>2226</v>
      </c>
      <c r="H97" s="18">
        <f t="shared" si="2"/>
        <v>166974361785</v>
      </c>
      <c r="I97" t="str">
        <f t="shared" si="3"/>
        <v>суббота</v>
      </c>
    </row>
    <row r="98" spans="1:9" ht="14.25" customHeight="1" x14ac:dyDescent="0.3">
      <c r="A98" s="14">
        <v>43975</v>
      </c>
      <c r="B98" s="16" t="s">
        <v>17</v>
      </c>
      <c r="C98" s="20">
        <v>38194.5</v>
      </c>
      <c r="D98" s="20">
        <v>3449302.5</v>
      </c>
      <c r="E98" s="7">
        <f>SUMIFS(Лист2!C:C,Лист2!B:B,'общая таблица'!B98,Лист2!A:A,'общая таблица'!A98)</f>
        <v>21</v>
      </c>
      <c r="F98" s="7">
        <f>SUMIFS(Лист2!D:D,Лист2!B:B,'общая таблица'!B98,Лист2!A:A,'общая таблица'!A98)</f>
        <v>2254</v>
      </c>
      <c r="G98" s="7">
        <f>SUMIFS(Лист2!E:E,Лист2!B:B,'общая таблица'!B98,Лист2!A:A,'общая таблица'!A98)</f>
        <v>2061</v>
      </c>
      <c r="H98" s="18">
        <f t="shared" si="2"/>
        <v>131744384336.25</v>
      </c>
      <c r="I98" t="str">
        <f t="shared" si="3"/>
        <v>воскресенье</v>
      </c>
    </row>
    <row r="99" spans="1:9" ht="14.25" customHeight="1" x14ac:dyDescent="0.3">
      <c r="A99" s="15">
        <v>43976</v>
      </c>
      <c r="B99" s="17" t="s">
        <v>17</v>
      </c>
      <c r="C99" s="23">
        <v>38740.5</v>
      </c>
      <c r="D99" s="23">
        <v>3561655.5</v>
      </c>
      <c r="E99" s="7">
        <f>SUMIFS(Лист2!C:C,Лист2!B:B,'общая таблица'!B99,Лист2!A:A,'общая таблица'!A99)</f>
        <v>21</v>
      </c>
      <c r="F99" s="7">
        <f>SUMIFS(Лист2!D:D,Лист2!B:B,'общая таблица'!B99,Лист2!A:A,'общая таблица'!A99)</f>
        <v>2330</v>
      </c>
      <c r="G99" s="7">
        <f>SUMIFS(Лист2!E:E,Лист2!B:B,'общая таблица'!B99,Лист2!A:A,'общая таблица'!A99)</f>
        <v>2142</v>
      </c>
      <c r="H99" s="18">
        <f t="shared" si="2"/>
        <v>137980314897.75</v>
      </c>
      <c r="I99" t="str">
        <f t="shared" si="3"/>
        <v>понедельник</v>
      </c>
    </row>
    <row r="100" spans="1:9" ht="14.25" customHeight="1" x14ac:dyDescent="0.3">
      <c r="A100" s="5">
        <v>43977</v>
      </c>
      <c r="B100" s="6" t="s">
        <v>17</v>
      </c>
      <c r="C100" s="22">
        <v>40744.5</v>
      </c>
      <c r="D100" s="22">
        <v>3700311</v>
      </c>
      <c r="E100" s="7">
        <f>SUMIFS(Лист2!C:C,Лист2!B:B,'общая таблица'!B100,Лист2!A:A,'общая таблица'!A100)</f>
        <v>21</v>
      </c>
      <c r="F100" s="7">
        <f>SUMIFS(Лист2!D:D,Лист2!B:B,'общая таблица'!B100,Лист2!A:A,'общая таблица'!A100)</f>
        <v>2418</v>
      </c>
      <c r="G100" s="7">
        <f>SUMIFS(Лист2!E:E,Лист2!B:B,'общая таблица'!B100,Лист2!A:A,'общая таблица'!A100)</f>
        <v>2215</v>
      </c>
      <c r="H100" s="18">
        <f t="shared" si="2"/>
        <v>150767321539.5</v>
      </c>
      <c r="I100" t="str">
        <f t="shared" si="3"/>
        <v>вторник</v>
      </c>
    </row>
    <row r="101" spans="1:9" ht="14.25" customHeight="1" x14ac:dyDescent="0.3">
      <c r="A101" s="15">
        <v>43978</v>
      </c>
      <c r="B101" s="17" t="s">
        <v>17</v>
      </c>
      <c r="C101" s="23">
        <v>40420.5</v>
      </c>
      <c r="D101" s="23">
        <v>3780852</v>
      </c>
      <c r="E101" s="7">
        <f>SUMIFS(Лист2!C:C,Лист2!B:B,'общая таблица'!B101,Лист2!A:A,'общая таблица'!A101)</f>
        <v>21</v>
      </c>
      <c r="F101" s="7">
        <f>SUMIFS(Лист2!D:D,Лист2!B:B,'общая таблица'!B101,Лист2!A:A,'общая таблица'!A101)</f>
        <v>2430</v>
      </c>
      <c r="G101" s="7">
        <f>SUMIFS(Лист2!E:E,Лист2!B:B,'общая таблица'!B101,Лист2!A:A,'общая таблица'!A101)</f>
        <v>2216</v>
      </c>
      <c r="H101" s="18">
        <f t="shared" si="2"/>
        <v>152823928266</v>
      </c>
      <c r="I101" t="str">
        <f t="shared" si="3"/>
        <v>среда</v>
      </c>
    </row>
    <row r="102" spans="1:9" ht="14.25" customHeight="1" x14ac:dyDescent="0.3">
      <c r="A102" s="5">
        <v>43979</v>
      </c>
      <c r="B102" s="6" t="s">
        <v>17</v>
      </c>
      <c r="C102" s="22">
        <v>41442</v>
      </c>
      <c r="D102" s="22">
        <v>3893680.5</v>
      </c>
      <c r="E102" s="7">
        <f>SUMIFS(Лист2!C:C,Лист2!B:B,'общая таблица'!B102,Лист2!A:A,'общая таблица'!A102)</f>
        <v>22</v>
      </c>
      <c r="F102" s="7">
        <f>SUMIFS(Лист2!D:D,Лист2!B:B,'общая таблица'!B102,Лист2!A:A,'общая таблица'!A102)</f>
        <v>2454</v>
      </c>
      <c r="G102" s="7">
        <f>SUMIFS(Лист2!E:E,Лист2!B:B,'общая таблица'!B102,Лист2!A:A,'общая таблица'!A102)</f>
        <v>2239</v>
      </c>
      <c r="H102" s="18">
        <f t="shared" si="2"/>
        <v>161361907281</v>
      </c>
      <c r="I102" t="str">
        <f t="shared" si="3"/>
        <v>четверг</v>
      </c>
    </row>
    <row r="103" spans="1:9" ht="14.25" customHeight="1" x14ac:dyDescent="0.3">
      <c r="A103" s="15">
        <v>43980</v>
      </c>
      <c r="B103" s="17" t="s">
        <v>17</v>
      </c>
      <c r="C103" s="23">
        <v>44569.5</v>
      </c>
      <c r="D103" s="23">
        <v>4108596</v>
      </c>
      <c r="E103" s="7">
        <f>SUMIFS(Лист2!C:C,Лист2!B:B,'общая таблица'!B103,Лист2!A:A,'общая таблица'!A103)</f>
        <v>22</v>
      </c>
      <c r="F103" s="7">
        <f>SUMIFS(Лист2!D:D,Лист2!B:B,'общая таблица'!B103,Лист2!A:A,'общая таблица'!A103)</f>
        <v>2597</v>
      </c>
      <c r="G103" s="7">
        <f>SUMIFS(Лист2!E:E,Лист2!B:B,'общая таблица'!B103,Лист2!A:A,'общая таблица'!A103)</f>
        <v>2379</v>
      </c>
      <c r="H103" s="18">
        <f t="shared" si="2"/>
        <v>183118069422</v>
      </c>
      <c r="I103" t="str">
        <f t="shared" si="3"/>
        <v>пятница</v>
      </c>
    </row>
    <row r="104" spans="1:9" ht="14.25" customHeight="1" x14ac:dyDescent="0.3">
      <c r="A104" s="14">
        <v>43981</v>
      </c>
      <c r="B104" s="16" t="s">
        <v>17</v>
      </c>
      <c r="C104" s="20">
        <v>48286.5</v>
      </c>
      <c r="D104" s="20">
        <v>4456441.5</v>
      </c>
      <c r="E104" s="7">
        <f>SUMIFS(Лист2!C:C,Лист2!B:B,'общая таблица'!B104,Лист2!A:A,'общая таблица'!A104)</f>
        <v>22</v>
      </c>
      <c r="F104" s="7">
        <f>SUMIFS(Лист2!D:D,Лист2!B:B,'общая таблица'!B104,Лист2!A:A,'общая таблица'!A104)</f>
        <v>2793</v>
      </c>
      <c r="G104" s="7">
        <f>SUMIFS(Лист2!E:E,Лист2!B:B,'общая таблица'!B104,Лист2!A:A,'общая таблица'!A104)</f>
        <v>2539</v>
      </c>
      <c r="H104" s="18">
        <f t="shared" si="2"/>
        <v>215185962489.75</v>
      </c>
      <c r="I104" t="str">
        <f t="shared" si="3"/>
        <v>суббота</v>
      </c>
    </row>
    <row r="105" spans="1:9" ht="14.25" customHeight="1" x14ac:dyDescent="0.3">
      <c r="A105" s="15">
        <v>43982</v>
      </c>
      <c r="B105" s="17" t="s">
        <v>17</v>
      </c>
      <c r="C105" s="23">
        <v>42423</v>
      </c>
      <c r="D105" s="23">
        <v>3994153.5</v>
      </c>
      <c r="E105" s="7">
        <f>SUMIFS(Лист2!C:C,Лист2!B:B,'общая таблица'!B105,Лист2!A:A,'общая таблица'!A105)</f>
        <v>23</v>
      </c>
      <c r="F105" s="7">
        <f>SUMIFS(Лист2!D:D,Лист2!B:B,'общая таблица'!B105,Лист2!A:A,'общая таблица'!A105)</f>
        <v>2522</v>
      </c>
      <c r="G105" s="7">
        <f>SUMIFS(Лист2!E:E,Лист2!B:B,'общая таблица'!B105,Лист2!A:A,'общая таблица'!A105)</f>
        <v>2295</v>
      </c>
      <c r="H105" s="18">
        <f t="shared" si="2"/>
        <v>169443973930.5</v>
      </c>
      <c r="I105" t="str">
        <f t="shared" si="3"/>
        <v>воскресенье</v>
      </c>
    </row>
    <row r="106" spans="1:9" ht="14.25" customHeight="1" x14ac:dyDescent="0.3">
      <c r="A106" s="5">
        <v>43983</v>
      </c>
      <c r="B106" s="6" t="s">
        <v>17</v>
      </c>
      <c r="C106" s="22">
        <v>40528.5</v>
      </c>
      <c r="D106" s="22">
        <v>3865251</v>
      </c>
      <c r="E106" s="7">
        <f>SUMIFS(Лист2!C:C,Лист2!B:B,'общая таблица'!B106,Лист2!A:A,'общая таблица'!A106)</f>
        <v>23</v>
      </c>
      <c r="F106" s="7">
        <f>SUMIFS(Лист2!D:D,Лист2!B:B,'общая таблица'!B106,Лист2!A:A,'общая таблица'!A106)</f>
        <v>2531</v>
      </c>
      <c r="G106" s="7">
        <f>SUMIFS(Лист2!E:E,Лист2!B:B,'общая таблица'!B106,Лист2!A:A,'общая таблица'!A106)</f>
        <v>2296</v>
      </c>
      <c r="H106" s="18">
        <f t="shared" si="2"/>
        <v>156652825153.5</v>
      </c>
      <c r="I106" t="str">
        <f t="shared" si="3"/>
        <v>понедельник</v>
      </c>
    </row>
    <row r="107" spans="1:9" ht="14.25" customHeight="1" x14ac:dyDescent="0.3">
      <c r="A107" s="15">
        <v>43949</v>
      </c>
      <c r="B107" s="17" t="s">
        <v>10</v>
      </c>
      <c r="C107" s="23">
        <v>26940</v>
      </c>
      <c r="D107" s="23">
        <v>2411587.5</v>
      </c>
      <c r="E107" s="7">
        <f>SUMIFS(Лист2!C:C,Лист2!B:B,'общая таблица'!B107,Лист2!A:A,'общая таблица'!A107)</f>
        <v>18</v>
      </c>
      <c r="F107" s="7">
        <f>SUMIFS(Лист2!D:D,Лист2!B:B,'общая таблица'!B107,Лист2!A:A,'общая таблица'!A107)</f>
        <v>1539</v>
      </c>
      <c r="G107" s="7">
        <f>SUMIFS(Лист2!E:E,Лист2!B:B,'общая таблица'!B107,Лист2!A:A,'общая таблица'!A107)</f>
        <v>1404</v>
      </c>
      <c r="H107" s="18">
        <f t="shared" si="2"/>
        <v>64968167250</v>
      </c>
      <c r="I107" t="str">
        <f t="shared" si="3"/>
        <v>вторник</v>
      </c>
    </row>
    <row r="108" spans="1:9" ht="14.25" customHeight="1" x14ac:dyDescent="0.3">
      <c r="A108" s="5">
        <v>43950</v>
      </c>
      <c r="B108" s="6" t="s">
        <v>10</v>
      </c>
      <c r="C108" s="22">
        <v>29319</v>
      </c>
      <c r="D108" s="22">
        <v>2623480.5</v>
      </c>
      <c r="E108" s="7">
        <f>SUMIFS(Лист2!C:C,Лист2!B:B,'общая таблица'!B108,Лист2!A:A,'общая таблица'!A108)</f>
        <v>18</v>
      </c>
      <c r="F108" s="7">
        <f>SUMIFS(Лист2!D:D,Лист2!B:B,'общая таблица'!B108,Лист2!A:A,'общая таблица'!A108)</f>
        <v>1684</v>
      </c>
      <c r="G108" s="7">
        <f>SUMIFS(Лист2!E:E,Лист2!B:B,'общая таблица'!B108,Лист2!A:A,'общая таблица'!A108)</f>
        <v>1528</v>
      </c>
      <c r="H108" s="18">
        <f t="shared" si="2"/>
        <v>76917824779.5</v>
      </c>
      <c r="I108" t="str">
        <f t="shared" si="3"/>
        <v>среда</v>
      </c>
    </row>
    <row r="109" spans="1:9" ht="14.25" customHeight="1" x14ac:dyDescent="0.3">
      <c r="A109" s="15">
        <v>43951</v>
      </c>
      <c r="B109" s="17" t="s">
        <v>10</v>
      </c>
      <c r="C109" s="23">
        <v>30445.5</v>
      </c>
      <c r="D109" s="23">
        <v>2817196.5</v>
      </c>
      <c r="E109" s="7">
        <f>SUMIFS(Лист2!C:C,Лист2!B:B,'общая таблица'!B109,Лист2!A:A,'общая таблица'!A109)</f>
        <v>19</v>
      </c>
      <c r="F109" s="7">
        <f>SUMIFS(Лист2!D:D,Лист2!B:B,'общая таблица'!B109,Лист2!A:A,'общая таблица'!A109)</f>
        <v>1712</v>
      </c>
      <c r="G109" s="7">
        <f>SUMIFS(Лист2!E:E,Лист2!B:B,'общая таблица'!B109,Лист2!A:A,'общая таблица'!A109)</f>
        <v>1552</v>
      </c>
      <c r="H109" s="18">
        <f t="shared" si="2"/>
        <v>85770956040.75</v>
      </c>
      <c r="I109" t="str">
        <f t="shared" si="3"/>
        <v>четверг</v>
      </c>
    </row>
    <row r="110" spans="1:9" ht="14.25" customHeight="1" x14ac:dyDescent="0.3">
      <c r="A110" s="14">
        <v>43952</v>
      </c>
      <c r="B110" s="16" t="s">
        <v>10</v>
      </c>
      <c r="C110" s="20">
        <v>32487</v>
      </c>
      <c r="D110" s="20">
        <v>3031254</v>
      </c>
      <c r="E110" s="7">
        <f>SUMIFS(Лист2!C:C,Лист2!B:B,'общая таблица'!B110,Лист2!A:A,'общая таблица'!A110)</f>
        <v>18</v>
      </c>
      <c r="F110" s="7">
        <f>SUMIFS(Лист2!D:D,Лист2!B:B,'общая таблица'!B110,Лист2!A:A,'общая таблица'!A110)</f>
        <v>1826</v>
      </c>
      <c r="G110" s="7">
        <f>SUMIFS(Лист2!E:E,Лист2!B:B,'общая таблица'!B110,Лист2!A:A,'общая таблица'!A110)</f>
        <v>1633</v>
      </c>
      <c r="H110" s="18">
        <f t="shared" si="2"/>
        <v>98476348698</v>
      </c>
      <c r="I110" t="str">
        <f t="shared" si="3"/>
        <v>пятница</v>
      </c>
    </row>
    <row r="111" spans="1:9" ht="14.25" customHeight="1" x14ac:dyDescent="0.3">
      <c r="A111" s="8">
        <v>43953</v>
      </c>
      <c r="B111" s="9" t="s">
        <v>10</v>
      </c>
      <c r="C111" s="21">
        <v>29031</v>
      </c>
      <c r="D111" s="21">
        <v>2711247</v>
      </c>
      <c r="E111" s="7">
        <f>SUMIFS(Лист2!C:C,Лист2!B:B,'общая таблица'!B111,Лист2!A:A,'общая таблица'!A111)</f>
        <v>18</v>
      </c>
      <c r="F111" s="7">
        <f>SUMIFS(Лист2!D:D,Лист2!B:B,'общая таблица'!B111,Лист2!A:A,'общая таблица'!A111)</f>
        <v>1708</v>
      </c>
      <c r="G111" s="7">
        <f>SUMIFS(Лист2!E:E,Лист2!B:B,'общая таблица'!B111,Лист2!A:A,'общая таблица'!A111)</f>
        <v>1534</v>
      </c>
      <c r="H111" s="18">
        <f t="shared" si="2"/>
        <v>78710211657</v>
      </c>
      <c r="I111" t="str">
        <f t="shared" si="3"/>
        <v>суббота</v>
      </c>
    </row>
    <row r="112" spans="1:9" ht="14.25" customHeight="1" x14ac:dyDescent="0.3">
      <c r="A112" s="5">
        <v>43954</v>
      </c>
      <c r="B112" s="6" t="s">
        <v>10</v>
      </c>
      <c r="C112" s="22">
        <v>26082</v>
      </c>
      <c r="D112" s="22">
        <v>2434914</v>
      </c>
      <c r="E112" s="7">
        <f>SUMIFS(Лист2!C:C,Лист2!B:B,'общая таблица'!B112,Лист2!A:A,'общая таблица'!A112)</f>
        <v>20</v>
      </c>
      <c r="F112" s="7">
        <f>SUMIFS(Лист2!D:D,Лист2!B:B,'общая таблица'!B112,Лист2!A:A,'общая таблица'!A112)</f>
        <v>1520</v>
      </c>
      <c r="G112" s="7">
        <f>SUMIFS(Лист2!E:E,Лист2!B:B,'общая таблица'!B112,Лист2!A:A,'общая таблица'!A112)</f>
        <v>1373</v>
      </c>
      <c r="H112" s="18">
        <f t="shared" si="2"/>
        <v>63507426948</v>
      </c>
      <c r="I112" t="str">
        <f t="shared" si="3"/>
        <v>воскресенье</v>
      </c>
    </row>
    <row r="113" spans="1:9" ht="14.25" customHeight="1" x14ac:dyDescent="0.3">
      <c r="A113" s="8">
        <v>43955</v>
      </c>
      <c r="B113" s="9" t="s">
        <v>10</v>
      </c>
      <c r="C113" s="21">
        <v>25566</v>
      </c>
      <c r="D113" s="21">
        <v>2372310</v>
      </c>
      <c r="E113" s="7">
        <f>SUMIFS(Лист2!C:C,Лист2!B:B,'общая таблица'!B113,Лист2!A:A,'общая таблица'!A113)</f>
        <v>20</v>
      </c>
      <c r="F113" s="7">
        <f>SUMIFS(Лист2!D:D,Лист2!B:B,'общая таблица'!B113,Лист2!A:A,'общая таблица'!A113)</f>
        <v>1519</v>
      </c>
      <c r="G113" s="7">
        <f>SUMIFS(Лист2!E:E,Лист2!B:B,'общая таблица'!B113,Лист2!A:A,'общая таблица'!A113)</f>
        <v>1372</v>
      </c>
      <c r="H113" s="18">
        <f t="shared" si="2"/>
        <v>60650477460</v>
      </c>
      <c r="I113" t="str">
        <f t="shared" si="3"/>
        <v>понедельник</v>
      </c>
    </row>
    <row r="114" spans="1:9" ht="14.25" customHeight="1" x14ac:dyDescent="0.3">
      <c r="A114" s="14">
        <v>43956</v>
      </c>
      <c r="B114" s="16" t="s">
        <v>10</v>
      </c>
      <c r="C114" s="20">
        <v>31566</v>
      </c>
      <c r="D114" s="20">
        <v>2906763</v>
      </c>
      <c r="E114" s="7">
        <f>SUMIFS(Лист2!C:C,Лист2!B:B,'общая таблица'!B114,Лист2!A:A,'общая таблица'!A114)</f>
        <v>20</v>
      </c>
      <c r="F114" s="7">
        <f>SUMIFS(Лист2!D:D,Лист2!B:B,'общая таблица'!B114,Лист2!A:A,'общая таблица'!A114)</f>
        <v>1773</v>
      </c>
      <c r="G114" s="7">
        <f>SUMIFS(Лист2!E:E,Лист2!B:B,'общая таблица'!B114,Лист2!A:A,'общая таблица'!A114)</f>
        <v>1604</v>
      </c>
      <c r="H114" s="18">
        <f t="shared" si="2"/>
        <v>91754880858</v>
      </c>
      <c r="I114" t="str">
        <f t="shared" si="3"/>
        <v>вторник</v>
      </c>
    </row>
    <row r="115" spans="1:9" ht="14.25" customHeight="1" x14ac:dyDescent="0.3">
      <c r="A115" s="8">
        <v>43957</v>
      </c>
      <c r="B115" s="9" t="s">
        <v>10</v>
      </c>
      <c r="C115" s="21">
        <v>32511</v>
      </c>
      <c r="D115" s="21">
        <v>2938623</v>
      </c>
      <c r="E115" s="7">
        <f>SUMIFS(Лист2!C:C,Лист2!B:B,'общая таблица'!B115,Лист2!A:A,'общая таблица'!A115)</f>
        <v>20</v>
      </c>
      <c r="F115" s="7">
        <f>SUMIFS(Лист2!D:D,Лист2!B:B,'общая таблица'!B115,Лист2!A:A,'общая таблица'!A115)</f>
        <v>1784</v>
      </c>
      <c r="G115" s="7">
        <f>SUMIFS(Лист2!E:E,Лист2!B:B,'общая таблица'!B115,Лист2!A:A,'общая таблица'!A115)</f>
        <v>1632</v>
      </c>
      <c r="H115" s="18">
        <f t="shared" si="2"/>
        <v>95537572353</v>
      </c>
      <c r="I115" t="str">
        <f t="shared" si="3"/>
        <v>среда</v>
      </c>
    </row>
    <row r="116" spans="1:9" ht="14.25" customHeight="1" x14ac:dyDescent="0.3">
      <c r="A116" s="14">
        <v>43958</v>
      </c>
      <c r="B116" s="16" t="s">
        <v>10</v>
      </c>
      <c r="C116" s="20">
        <v>27018</v>
      </c>
      <c r="D116" s="20">
        <v>2472213</v>
      </c>
      <c r="E116" s="7">
        <f>SUMIFS(Лист2!C:C,Лист2!B:B,'общая таблица'!B116,Лист2!A:A,'общая таблица'!A116)</f>
        <v>21</v>
      </c>
      <c r="F116" s="7">
        <f>SUMIFS(Лист2!D:D,Лист2!B:B,'общая таблица'!B116,Лист2!A:A,'общая таблица'!A116)</f>
        <v>1542</v>
      </c>
      <c r="G116" s="7">
        <f>SUMIFS(Лист2!E:E,Лист2!B:B,'общая таблица'!B116,Лист2!A:A,'общая таблица'!A116)</f>
        <v>1405</v>
      </c>
      <c r="H116" s="18">
        <f t="shared" si="2"/>
        <v>66794250834</v>
      </c>
      <c r="I116" t="str">
        <f t="shared" si="3"/>
        <v>четверг</v>
      </c>
    </row>
    <row r="117" spans="1:9" ht="14.25" customHeight="1" x14ac:dyDescent="0.3">
      <c r="A117" s="15">
        <v>43959</v>
      </c>
      <c r="B117" s="17" t="s">
        <v>10</v>
      </c>
      <c r="C117" s="23">
        <v>29409</v>
      </c>
      <c r="D117" s="23">
        <v>2645160</v>
      </c>
      <c r="E117" s="7">
        <f>SUMIFS(Лист2!C:C,Лист2!B:B,'общая таблица'!B117,Лист2!A:A,'общая таблица'!A117)</f>
        <v>21</v>
      </c>
      <c r="F117" s="7">
        <f>SUMIFS(Лист2!D:D,Лист2!B:B,'общая таблица'!B117,Лист2!A:A,'общая таблица'!A117)</f>
        <v>1646</v>
      </c>
      <c r="G117" s="7">
        <f>SUMIFS(Лист2!E:E,Лист2!B:B,'общая таблица'!B117,Лист2!A:A,'общая таблица'!A117)</f>
        <v>1492</v>
      </c>
      <c r="H117" s="18">
        <f t="shared" si="2"/>
        <v>77791510440</v>
      </c>
      <c r="I117" t="str">
        <f t="shared" si="3"/>
        <v>пятница</v>
      </c>
    </row>
    <row r="118" spans="1:9" ht="14.25" customHeight="1" x14ac:dyDescent="0.3">
      <c r="A118" s="5">
        <v>43960</v>
      </c>
      <c r="B118" s="6" t="s">
        <v>10</v>
      </c>
      <c r="C118" s="22">
        <v>31147.5</v>
      </c>
      <c r="D118" s="22">
        <v>2831019</v>
      </c>
      <c r="E118" s="7">
        <f>SUMIFS(Лист2!C:C,Лист2!B:B,'общая таблица'!B118,Лист2!A:A,'общая таблица'!A118)</f>
        <v>21</v>
      </c>
      <c r="F118" s="7">
        <f>SUMIFS(Лист2!D:D,Лист2!B:B,'общая таблица'!B118,Лист2!A:A,'общая таблица'!A118)</f>
        <v>1735</v>
      </c>
      <c r="G118" s="7">
        <f>SUMIFS(Лист2!E:E,Лист2!B:B,'общая таблица'!B118,Лист2!A:A,'общая таблица'!A118)</f>
        <v>1568</v>
      </c>
      <c r="H118" s="18">
        <f t="shared" si="2"/>
        <v>88179164302.5</v>
      </c>
      <c r="I118" t="str">
        <f t="shared" si="3"/>
        <v>суббота</v>
      </c>
    </row>
    <row r="119" spans="1:9" ht="14.25" customHeight="1" x14ac:dyDescent="0.3">
      <c r="A119" s="8">
        <v>43961</v>
      </c>
      <c r="B119" s="9" t="s">
        <v>10</v>
      </c>
      <c r="C119" s="21">
        <v>36619.5</v>
      </c>
      <c r="D119" s="21">
        <v>3312967.5</v>
      </c>
      <c r="E119" s="7">
        <f>SUMIFS(Лист2!C:C,Лист2!B:B,'общая таблица'!B119,Лист2!A:A,'общая таблица'!A119)</f>
        <v>21</v>
      </c>
      <c r="F119" s="7">
        <f>SUMIFS(Лист2!D:D,Лист2!B:B,'общая таблица'!B119,Лист2!A:A,'общая таблица'!A119)</f>
        <v>2016</v>
      </c>
      <c r="G119" s="7">
        <f>SUMIFS(Лист2!E:E,Лист2!B:B,'общая таблица'!B119,Лист2!A:A,'общая таблица'!A119)</f>
        <v>1846</v>
      </c>
      <c r="H119" s="18">
        <f t="shared" si="2"/>
        <v>121319213366.25</v>
      </c>
      <c r="I119" t="str">
        <f t="shared" si="3"/>
        <v>воскресенье</v>
      </c>
    </row>
    <row r="120" spans="1:9" ht="14.25" customHeight="1" x14ac:dyDescent="0.3">
      <c r="A120" s="14">
        <v>43962</v>
      </c>
      <c r="B120" s="16" t="s">
        <v>10</v>
      </c>
      <c r="C120" s="20">
        <v>27187.5</v>
      </c>
      <c r="D120" s="20">
        <v>2479396.5</v>
      </c>
      <c r="E120" s="7">
        <f>SUMIFS(Лист2!C:C,Лист2!B:B,'общая таблица'!B120,Лист2!A:A,'общая таблица'!A120)</f>
        <v>21</v>
      </c>
      <c r="F120" s="7">
        <f>SUMIFS(Лист2!D:D,Лист2!B:B,'общая таблица'!B120,Лист2!A:A,'общая таблица'!A120)</f>
        <v>1597</v>
      </c>
      <c r="G120" s="7">
        <f>SUMIFS(Лист2!E:E,Лист2!B:B,'общая таблица'!B120,Лист2!A:A,'общая таблица'!A120)</f>
        <v>1457</v>
      </c>
      <c r="H120" s="18">
        <f t="shared" si="2"/>
        <v>67408592343.75</v>
      </c>
      <c r="I120" t="str">
        <f t="shared" si="3"/>
        <v>понедельник</v>
      </c>
    </row>
    <row r="121" spans="1:9" ht="14.25" customHeight="1" x14ac:dyDescent="0.3">
      <c r="A121" s="15">
        <v>43963</v>
      </c>
      <c r="B121" s="17" t="s">
        <v>10</v>
      </c>
      <c r="C121" s="23">
        <v>28219.5</v>
      </c>
      <c r="D121" s="23">
        <v>2595778.5</v>
      </c>
      <c r="E121" s="7">
        <f>SUMIFS(Лист2!C:C,Лист2!B:B,'общая таблица'!B121,Лист2!A:A,'общая таблица'!A121)</f>
        <v>21</v>
      </c>
      <c r="F121" s="7">
        <f>SUMIFS(Лист2!D:D,Лист2!B:B,'общая таблица'!B121,Лист2!A:A,'общая таблица'!A121)</f>
        <v>1656</v>
      </c>
      <c r="G121" s="7">
        <f>SUMIFS(Лист2!E:E,Лист2!B:B,'общая таблица'!B121,Лист2!A:A,'общая таблица'!A121)</f>
        <v>1516</v>
      </c>
      <c r="H121" s="18">
        <f t="shared" si="2"/>
        <v>73251571380.75</v>
      </c>
      <c r="I121" t="str">
        <f t="shared" si="3"/>
        <v>вторник</v>
      </c>
    </row>
    <row r="122" spans="1:9" ht="14.25" customHeight="1" x14ac:dyDescent="0.3">
      <c r="A122" s="14">
        <v>43964</v>
      </c>
      <c r="B122" s="16" t="s">
        <v>10</v>
      </c>
      <c r="C122" s="20">
        <v>29241</v>
      </c>
      <c r="D122" s="20">
        <v>2629782</v>
      </c>
      <c r="E122" s="7">
        <f>SUMIFS(Лист2!C:C,Лист2!B:B,'общая таблица'!B122,Лист2!A:A,'общая таблица'!A122)</f>
        <v>21</v>
      </c>
      <c r="F122" s="7">
        <f>SUMIFS(Лист2!D:D,Лист2!B:B,'общая таблица'!B122,Лист2!A:A,'общая таблица'!A122)</f>
        <v>1698</v>
      </c>
      <c r="G122" s="7">
        <f>SUMIFS(Лист2!E:E,Лист2!B:B,'общая таблица'!B122,Лист2!A:A,'общая таблица'!A122)</f>
        <v>1554</v>
      </c>
      <c r="H122" s="18">
        <f t="shared" si="2"/>
        <v>76897455462</v>
      </c>
      <c r="I122" t="str">
        <f t="shared" si="3"/>
        <v>среда</v>
      </c>
    </row>
    <row r="123" spans="1:9" ht="14.25" customHeight="1" x14ac:dyDescent="0.3">
      <c r="A123" s="8">
        <v>43965</v>
      </c>
      <c r="B123" s="9" t="s">
        <v>10</v>
      </c>
      <c r="C123" s="21">
        <v>29658</v>
      </c>
      <c r="D123" s="21">
        <v>2703132</v>
      </c>
      <c r="E123" s="7">
        <f>SUMIFS(Лист2!C:C,Лист2!B:B,'общая таблица'!B123,Лист2!A:A,'общая таблица'!A123)</f>
        <v>21</v>
      </c>
      <c r="F123" s="7">
        <f>SUMIFS(Лист2!D:D,Лист2!B:B,'общая таблица'!B123,Лист2!A:A,'общая таблица'!A123)</f>
        <v>1706</v>
      </c>
      <c r="G123" s="7">
        <f>SUMIFS(Лист2!E:E,Лист2!B:B,'общая таблица'!B123,Лист2!A:A,'общая таблица'!A123)</f>
        <v>1548</v>
      </c>
      <c r="H123" s="18">
        <f t="shared" si="2"/>
        <v>80169488856</v>
      </c>
      <c r="I123" t="str">
        <f t="shared" si="3"/>
        <v>четверг</v>
      </c>
    </row>
    <row r="124" spans="1:9" ht="14.25" customHeight="1" x14ac:dyDescent="0.3">
      <c r="A124" s="5">
        <v>43966</v>
      </c>
      <c r="B124" s="6" t="s">
        <v>10</v>
      </c>
      <c r="C124" s="22">
        <v>34150.5</v>
      </c>
      <c r="D124" s="22">
        <v>3038293.5</v>
      </c>
      <c r="E124" s="7">
        <f>SUMIFS(Лист2!C:C,Лист2!B:B,'общая таблица'!B124,Лист2!A:A,'общая таблица'!A124)</f>
        <v>21</v>
      </c>
      <c r="F124" s="7">
        <f>SUMIFS(Лист2!D:D,Лист2!B:B,'общая таблица'!B124,Лист2!A:A,'общая таблица'!A124)</f>
        <v>1926</v>
      </c>
      <c r="G124" s="7">
        <f>SUMIFS(Лист2!E:E,Лист2!B:B,'общая таблица'!B124,Лист2!A:A,'общая таблица'!A124)</f>
        <v>1742</v>
      </c>
      <c r="H124" s="18">
        <f t="shared" si="2"/>
        <v>103759242171.75</v>
      </c>
      <c r="I124" t="str">
        <f t="shared" si="3"/>
        <v>пятница</v>
      </c>
    </row>
    <row r="125" spans="1:9" ht="14.25" customHeight="1" x14ac:dyDescent="0.3">
      <c r="A125" s="8">
        <v>43967</v>
      </c>
      <c r="B125" s="9" t="s">
        <v>10</v>
      </c>
      <c r="C125" s="21">
        <v>38947.5</v>
      </c>
      <c r="D125" s="21">
        <v>3395892</v>
      </c>
      <c r="E125" s="7">
        <f>SUMIFS(Лист2!C:C,Лист2!B:B,'общая таблица'!B125,Лист2!A:A,'общая таблица'!A125)</f>
        <v>21</v>
      </c>
      <c r="F125" s="7">
        <f>SUMIFS(Лист2!D:D,Лист2!B:B,'общая таблица'!B125,Лист2!A:A,'общая таблица'!A125)</f>
        <v>2145</v>
      </c>
      <c r="G125" s="7">
        <f>SUMIFS(Лист2!E:E,Лист2!B:B,'общая таблица'!B125,Лист2!A:A,'общая таблица'!A125)</f>
        <v>1947</v>
      </c>
      <c r="H125" s="18">
        <f t="shared" si="2"/>
        <v>132261503670</v>
      </c>
      <c r="I125" t="str">
        <f t="shared" si="3"/>
        <v>суббота</v>
      </c>
    </row>
    <row r="126" spans="1:9" ht="14.25" customHeight="1" x14ac:dyDescent="0.3">
      <c r="A126" s="14">
        <v>43968</v>
      </c>
      <c r="B126" s="16" t="s">
        <v>10</v>
      </c>
      <c r="C126" s="20">
        <v>32023.5</v>
      </c>
      <c r="D126" s="20">
        <v>2882458.5</v>
      </c>
      <c r="E126" s="7">
        <f>SUMIFS(Лист2!C:C,Лист2!B:B,'общая таблица'!B126,Лист2!A:A,'общая таблица'!A126)</f>
        <v>21</v>
      </c>
      <c r="F126" s="7">
        <f>SUMIFS(Лист2!D:D,Лист2!B:B,'общая таблица'!B126,Лист2!A:A,'общая таблица'!A126)</f>
        <v>1874</v>
      </c>
      <c r="G126" s="7">
        <f>SUMIFS(Лист2!E:E,Лист2!B:B,'общая таблица'!B126,Лист2!A:A,'общая таблица'!A126)</f>
        <v>1705</v>
      </c>
      <c r="H126" s="18">
        <f t="shared" si="2"/>
        <v>92306409774.75</v>
      </c>
      <c r="I126" t="str">
        <f t="shared" si="3"/>
        <v>воскресенье</v>
      </c>
    </row>
    <row r="127" spans="1:9" ht="14.25" customHeight="1" x14ac:dyDescent="0.3">
      <c r="A127" s="15">
        <v>43969</v>
      </c>
      <c r="B127" s="17" t="s">
        <v>10</v>
      </c>
      <c r="C127" s="23">
        <v>31329</v>
      </c>
      <c r="D127" s="23">
        <v>2826379.5</v>
      </c>
      <c r="E127" s="7">
        <f>SUMIFS(Лист2!C:C,Лист2!B:B,'общая таблица'!B127,Лист2!A:A,'общая таблица'!A127)</f>
        <v>21</v>
      </c>
      <c r="F127" s="7">
        <f>SUMIFS(Лист2!D:D,Лист2!B:B,'общая таблица'!B127,Лист2!A:A,'общая таблица'!A127)</f>
        <v>1834</v>
      </c>
      <c r="G127" s="7">
        <f>SUMIFS(Лист2!E:E,Лист2!B:B,'общая таблица'!B127,Лист2!A:A,'общая таблица'!A127)</f>
        <v>1660</v>
      </c>
      <c r="H127" s="18">
        <f t="shared" si="2"/>
        <v>88547643355.5</v>
      </c>
      <c r="I127" t="str">
        <f t="shared" si="3"/>
        <v>понедельник</v>
      </c>
    </row>
    <row r="128" spans="1:9" ht="14.25" customHeight="1" x14ac:dyDescent="0.3">
      <c r="A128" s="5">
        <v>43970</v>
      </c>
      <c r="B128" s="6" t="s">
        <v>10</v>
      </c>
      <c r="C128" s="22">
        <v>31842</v>
      </c>
      <c r="D128" s="22">
        <v>2771116.5</v>
      </c>
      <c r="E128" s="7">
        <f>SUMIFS(Лист2!C:C,Лист2!B:B,'общая таблица'!B128,Лист2!A:A,'общая таблица'!A128)</f>
        <v>21</v>
      </c>
      <c r="F128" s="7">
        <f>SUMIFS(Лист2!D:D,Лист2!B:B,'общая таблица'!B128,Лист2!A:A,'общая таблица'!A128)</f>
        <v>1860</v>
      </c>
      <c r="G128" s="7">
        <f>SUMIFS(Лист2!E:E,Лист2!B:B,'общая таблица'!B128,Лист2!A:A,'общая таблица'!A128)</f>
        <v>1704</v>
      </c>
      <c r="H128" s="18">
        <f t="shared" si="2"/>
        <v>88237891593</v>
      </c>
      <c r="I128" t="str">
        <f t="shared" si="3"/>
        <v>вторник</v>
      </c>
    </row>
    <row r="129" spans="1:9" ht="14.25" customHeight="1" x14ac:dyDescent="0.3">
      <c r="A129" s="15">
        <v>43971</v>
      </c>
      <c r="B129" s="17" t="s">
        <v>10</v>
      </c>
      <c r="C129" s="23">
        <v>34077</v>
      </c>
      <c r="D129" s="23">
        <v>2929330.5</v>
      </c>
      <c r="E129" s="7">
        <f>SUMIFS(Лист2!C:C,Лист2!B:B,'общая таблица'!B129,Лист2!A:A,'общая таблица'!A129)</f>
        <v>21</v>
      </c>
      <c r="F129" s="7">
        <f>SUMIFS(Лист2!D:D,Лист2!B:B,'общая таблица'!B129,Лист2!A:A,'общая таблица'!A129)</f>
        <v>1921</v>
      </c>
      <c r="G129" s="7">
        <f>SUMIFS(Лист2!E:E,Лист2!B:B,'общая таблица'!B129,Лист2!A:A,'общая таблица'!A129)</f>
        <v>1767</v>
      </c>
      <c r="H129" s="18">
        <f t="shared" si="2"/>
        <v>99822795448.5</v>
      </c>
      <c r="I129" t="str">
        <f t="shared" si="3"/>
        <v>среда</v>
      </c>
    </row>
    <row r="130" spans="1:9" ht="14.25" customHeight="1" x14ac:dyDescent="0.3">
      <c r="A130" s="14">
        <v>43972</v>
      </c>
      <c r="B130" s="16" t="s">
        <v>10</v>
      </c>
      <c r="C130" s="20">
        <v>31272</v>
      </c>
      <c r="D130" s="20">
        <v>2744382</v>
      </c>
      <c r="E130" s="7">
        <f>SUMIFS(Лист2!C:C,Лист2!B:B,'общая таблица'!B130,Лист2!A:A,'общая таблица'!A130)</f>
        <v>21</v>
      </c>
      <c r="F130" s="7">
        <f>SUMIFS(Лист2!D:D,Лист2!B:B,'общая таблица'!B130,Лист2!A:A,'общая таблица'!A130)</f>
        <v>1787</v>
      </c>
      <c r="G130" s="7">
        <f>SUMIFS(Лист2!E:E,Лист2!B:B,'общая таблица'!B130,Лист2!A:A,'общая таблица'!A130)</f>
        <v>1626</v>
      </c>
      <c r="H130" s="18">
        <f t="shared" si="2"/>
        <v>85822313904</v>
      </c>
      <c r="I130" t="str">
        <f t="shared" si="3"/>
        <v>четверг</v>
      </c>
    </row>
    <row r="131" spans="1:9" ht="14.25" customHeight="1" x14ac:dyDescent="0.3">
      <c r="A131" s="8">
        <v>43973</v>
      </c>
      <c r="B131" s="9" t="s">
        <v>10</v>
      </c>
      <c r="C131" s="21">
        <v>36031.5</v>
      </c>
      <c r="D131" s="21">
        <v>3091069.5</v>
      </c>
      <c r="E131" s="7">
        <f>SUMIFS(Лист2!C:C,Лист2!B:B,'общая таблица'!B131,Лист2!A:A,'общая таблица'!A131)</f>
        <v>21</v>
      </c>
      <c r="F131" s="7">
        <f>SUMIFS(Лист2!D:D,Лист2!B:B,'общая таблица'!B131,Лист2!A:A,'общая таблица'!A131)</f>
        <v>2046</v>
      </c>
      <c r="G131" s="7">
        <f>SUMIFS(Лист2!E:E,Лист2!B:B,'общая таблица'!B131,Лист2!A:A,'общая таблица'!A131)</f>
        <v>1853</v>
      </c>
      <c r="H131" s="18">
        <f t="shared" ref="H131:H194" si="4">C131*D131</f>
        <v>111375870689.25</v>
      </c>
      <c r="I131" t="str">
        <f t="shared" ref="I131:I194" si="5">TEXT(A131,"дддд")</f>
        <v>пятница</v>
      </c>
    </row>
    <row r="132" spans="1:9" ht="14.25" customHeight="1" x14ac:dyDescent="0.3">
      <c r="A132" s="5">
        <v>43974</v>
      </c>
      <c r="B132" s="6" t="s">
        <v>10</v>
      </c>
      <c r="C132" s="22">
        <v>42703.5</v>
      </c>
      <c r="D132" s="22">
        <v>3628726.5</v>
      </c>
      <c r="E132" s="7">
        <f>SUMIFS(Лист2!C:C,Лист2!B:B,'общая таблица'!B132,Лист2!A:A,'общая таблица'!A132)</f>
        <v>21</v>
      </c>
      <c r="F132" s="7">
        <f>SUMIFS(Лист2!D:D,Лист2!B:B,'общая таблица'!B132,Лист2!A:A,'общая таблица'!A132)</f>
        <v>2340</v>
      </c>
      <c r="G132" s="7">
        <f>SUMIFS(Лист2!E:E,Лист2!B:B,'общая таблица'!B132,Лист2!A:A,'общая таблица'!A132)</f>
        <v>2146</v>
      </c>
      <c r="H132" s="18">
        <f t="shared" si="4"/>
        <v>154959322092.75</v>
      </c>
      <c r="I132" t="str">
        <f t="shared" si="5"/>
        <v>суббота</v>
      </c>
    </row>
    <row r="133" spans="1:9" ht="14.25" customHeight="1" x14ac:dyDescent="0.3">
      <c r="A133" s="15">
        <v>43975</v>
      </c>
      <c r="B133" s="17" t="s">
        <v>10</v>
      </c>
      <c r="C133" s="23">
        <v>34303.5</v>
      </c>
      <c r="D133" s="23">
        <v>2924746.5</v>
      </c>
      <c r="E133" s="7">
        <f>SUMIFS(Лист2!C:C,Лист2!B:B,'общая таблица'!B133,Лист2!A:A,'общая таблица'!A133)</f>
        <v>20</v>
      </c>
      <c r="F133" s="7">
        <f>SUMIFS(Лист2!D:D,Лист2!B:B,'общая таблица'!B133,Лист2!A:A,'общая таблица'!A133)</f>
        <v>1999</v>
      </c>
      <c r="G133" s="7">
        <f>SUMIFS(Лист2!E:E,Лист2!B:B,'общая таблица'!B133,Лист2!A:A,'общая таблица'!A133)</f>
        <v>1829</v>
      </c>
      <c r="H133" s="18">
        <f t="shared" si="4"/>
        <v>100329041562.75</v>
      </c>
      <c r="I133" t="str">
        <f t="shared" si="5"/>
        <v>воскресенье</v>
      </c>
    </row>
    <row r="134" spans="1:9" ht="14.25" customHeight="1" x14ac:dyDescent="0.3">
      <c r="A134" s="14">
        <v>43976</v>
      </c>
      <c r="B134" s="16" t="s">
        <v>10</v>
      </c>
      <c r="C134" s="20">
        <v>35592</v>
      </c>
      <c r="D134" s="20">
        <v>3176580</v>
      </c>
      <c r="E134" s="7">
        <f>SUMIFS(Лист2!C:C,Лист2!B:B,'общая таблица'!B134,Лист2!A:A,'общая таблица'!A134)</f>
        <v>20</v>
      </c>
      <c r="F134" s="7">
        <f>SUMIFS(Лист2!D:D,Лист2!B:B,'общая таблица'!B134,Лист2!A:A,'общая таблица'!A134)</f>
        <v>2087</v>
      </c>
      <c r="G134" s="7">
        <f>SUMIFS(Лист2!E:E,Лист2!B:B,'общая таблица'!B134,Лист2!A:A,'общая таблица'!A134)</f>
        <v>1914</v>
      </c>
      <c r="H134" s="18">
        <f t="shared" si="4"/>
        <v>113060835360</v>
      </c>
      <c r="I134" t="str">
        <f t="shared" si="5"/>
        <v>понедельник</v>
      </c>
    </row>
    <row r="135" spans="1:9" ht="14.25" customHeight="1" x14ac:dyDescent="0.3">
      <c r="A135" s="15">
        <v>43977</v>
      </c>
      <c r="B135" s="17" t="s">
        <v>10</v>
      </c>
      <c r="C135" s="23">
        <v>33423</v>
      </c>
      <c r="D135" s="23">
        <v>2970330</v>
      </c>
      <c r="E135" s="7">
        <f>SUMIFS(Лист2!C:C,Лист2!B:B,'общая таблица'!B135,Лист2!A:A,'общая таблица'!A135)</f>
        <v>20</v>
      </c>
      <c r="F135" s="7">
        <f>SUMIFS(Лист2!D:D,Лист2!B:B,'общая таблица'!B135,Лист2!A:A,'общая таблица'!A135)</f>
        <v>2044</v>
      </c>
      <c r="G135" s="7">
        <f>SUMIFS(Лист2!E:E,Лист2!B:B,'общая таблица'!B135,Лист2!A:A,'общая таблица'!A135)</f>
        <v>1863</v>
      </c>
      <c r="H135" s="18">
        <f t="shared" si="4"/>
        <v>99277339590</v>
      </c>
      <c r="I135" t="str">
        <f t="shared" si="5"/>
        <v>вторник</v>
      </c>
    </row>
    <row r="136" spans="1:9" ht="14.25" customHeight="1" x14ac:dyDescent="0.3">
      <c r="A136" s="5">
        <v>43978</v>
      </c>
      <c r="B136" s="6" t="s">
        <v>10</v>
      </c>
      <c r="C136" s="22">
        <v>32817</v>
      </c>
      <c r="D136" s="22">
        <v>3015751.5</v>
      </c>
      <c r="E136" s="7">
        <f>SUMIFS(Лист2!C:C,Лист2!B:B,'общая таблица'!B136,Лист2!A:A,'общая таблица'!A136)</f>
        <v>20</v>
      </c>
      <c r="F136" s="7">
        <f>SUMIFS(Лист2!D:D,Лист2!B:B,'общая таблица'!B136,Лист2!A:A,'общая таблица'!A136)</f>
        <v>2079</v>
      </c>
      <c r="G136" s="7">
        <f>SUMIFS(Лист2!E:E,Лист2!B:B,'общая таблица'!B136,Лист2!A:A,'общая таблица'!A136)</f>
        <v>1893</v>
      </c>
      <c r="H136" s="18">
        <f t="shared" si="4"/>
        <v>98967916975.5</v>
      </c>
      <c r="I136" t="str">
        <f t="shared" si="5"/>
        <v>среда</v>
      </c>
    </row>
    <row r="137" spans="1:9" ht="14.25" customHeight="1" x14ac:dyDescent="0.3">
      <c r="A137" s="8">
        <v>43979</v>
      </c>
      <c r="B137" s="9" t="s">
        <v>10</v>
      </c>
      <c r="C137" s="21">
        <v>30982.5</v>
      </c>
      <c r="D137" s="21">
        <v>2827773</v>
      </c>
      <c r="E137" s="7">
        <f>SUMIFS(Лист2!C:C,Лист2!B:B,'общая таблица'!B137,Лист2!A:A,'общая таблица'!A137)</f>
        <v>20</v>
      </c>
      <c r="F137" s="7">
        <f>SUMIFS(Лист2!D:D,Лист2!B:B,'общая таблица'!B137,Лист2!A:A,'общая таблица'!A137)</f>
        <v>1886</v>
      </c>
      <c r="G137" s="7">
        <f>SUMIFS(Лист2!E:E,Лист2!B:B,'общая таблица'!B137,Лист2!A:A,'общая таблица'!A137)</f>
        <v>1736</v>
      </c>
      <c r="H137" s="18">
        <f t="shared" si="4"/>
        <v>87611476972.5</v>
      </c>
      <c r="I137" t="str">
        <f t="shared" si="5"/>
        <v>четверг</v>
      </c>
    </row>
    <row r="138" spans="1:9" ht="14.25" customHeight="1" x14ac:dyDescent="0.3">
      <c r="A138" s="14">
        <v>43980</v>
      </c>
      <c r="B138" s="16" t="s">
        <v>10</v>
      </c>
      <c r="C138" s="20">
        <v>35431.5</v>
      </c>
      <c r="D138" s="20">
        <v>3193167</v>
      </c>
      <c r="E138" s="7">
        <f>SUMIFS(Лист2!C:C,Лист2!B:B,'общая таблица'!B138,Лист2!A:A,'общая таблица'!A138)</f>
        <v>20</v>
      </c>
      <c r="F138" s="7">
        <f>SUMIFS(Лист2!D:D,Лист2!B:B,'общая таблица'!B138,Лист2!A:A,'общая таблица'!A138)</f>
        <v>2111</v>
      </c>
      <c r="G138" s="7">
        <f>SUMIFS(Лист2!E:E,Лист2!B:B,'общая таблица'!B138,Лист2!A:A,'общая таблица'!A138)</f>
        <v>1917</v>
      </c>
      <c r="H138" s="18">
        <f t="shared" si="4"/>
        <v>113138696560.5</v>
      </c>
      <c r="I138" t="str">
        <f t="shared" si="5"/>
        <v>пятница</v>
      </c>
    </row>
    <row r="139" spans="1:9" ht="14.25" customHeight="1" x14ac:dyDescent="0.3">
      <c r="A139" s="15">
        <v>43981</v>
      </c>
      <c r="B139" s="17" t="s">
        <v>10</v>
      </c>
      <c r="C139" s="23">
        <v>44001</v>
      </c>
      <c r="D139" s="23">
        <v>3921784.5</v>
      </c>
      <c r="E139" s="7">
        <f>SUMIFS(Лист2!C:C,Лист2!B:B,'общая таблица'!B139,Лист2!A:A,'общая таблица'!A139)</f>
        <v>20</v>
      </c>
      <c r="F139" s="7">
        <f>SUMIFS(Лист2!D:D,Лист2!B:B,'общая таблица'!B139,Лист2!A:A,'общая таблица'!A139)</f>
        <v>2597</v>
      </c>
      <c r="G139" s="7">
        <f>SUMIFS(Лист2!E:E,Лист2!B:B,'общая таблица'!B139,Лист2!A:A,'общая таблица'!A139)</f>
        <v>2376</v>
      </c>
      <c r="H139" s="18">
        <f t="shared" si="4"/>
        <v>172562439784.5</v>
      </c>
      <c r="I139" t="str">
        <f t="shared" si="5"/>
        <v>суббота</v>
      </c>
    </row>
    <row r="140" spans="1:9" ht="14.25" customHeight="1" x14ac:dyDescent="0.3">
      <c r="A140" s="14">
        <v>43982</v>
      </c>
      <c r="B140" s="16" t="s">
        <v>10</v>
      </c>
      <c r="C140" s="20">
        <v>36999</v>
      </c>
      <c r="D140" s="20">
        <v>3473895</v>
      </c>
      <c r="E140" s="7">
        <f>SUMIFS(Лист2!C:C,Лист2!B:B,'общая таблица'!B140,Лист2!A:A,'общая таблица'!A140)</f>
        <v>21</v>
      </c>
      <c r="F140" s="7">
        <f>SUMIFS(Лист2!D:D,Лист2!B:B,'общая таблица'!B140,Лист2!A:A,'общая таблица'!A140)</f>
        <v>2271</v>
      </c>
      <c r="G140" s="7">
        <f>SUMIFS(Лист2!E:E,Лист2!B:B,'общая таблица'!B140,Лист2!A:A,'общая таблица'!A140)</f>
        <v>2085</v>
      </c>
      <c r="H140" s="18">
        <f t="shared" si="4"/>
        <v>128530641105</v>
      </c>
      <c r="I140" t="str">
        <f t="shared" si="5"/>
        <v>воскресенье</v>
      </c>
    </row>
    <row r="141" spans="1:9" ht="14.25" customHeight="1" x14ac:dyDescent="0.3">
      <c r="A141" s="8">
        <v>43983</v>
      </c>
      <c r="B141" s="9" t="s">
        <v>10</v>
      </c>
      <c r="C141" s="21">
        <v>31947</v>
      </c>
      <c r="D141" s="21">
        <v>2945035.5</v>
      </c>
      <c r="E141" s="7">
        <f>SUMIFS(Лист2!C:C,Лист2!B:B,'общая таблица'!B141,Лист2!A:A,'общая таблица'!A141)</f>
        <v>21</v>
      </c>
      <c r="F141" s="7">
        <f>SUMIFS(Лист2!D:D,Лист2!B:B,'общая таблица'!B141,Лист2!A:A,'общая таблица'!A141)</f>
        <v>2025</v>
      </c>
      <c r="G141" s="7">
        <f>SUMIFS(Лист2!E:E,Лист2!B:B,'общая таблица'!B141,Лист2!A:A,'общая таблица'!A141)</f>
        <v>1849</v>
      </c>
      <c r="H141" s="18">
        <f t="shared" si="4"/>
        <v>94085049118.5</v>
      </c>
      <c r="I141" t="str">
        <f t="shared" si="5"/>
        <v>понедельник</v>
      </c>
    </row>
    <row r="142" spans="1:9" ht="14.25" customHeight="1" x14ac:dyDescent="0.3">
      <c r="A142" s="5">
        <v>43949</v>
      </c>
      <c r="B142" s="6" t="s">
        <v>20</v>
      </c>
      <c r="C142" s="22">
        <v>25149</v>
      </c>
      <c r="D142" s="22">
        <v>2277072</v>
      </c>
      <c r="E142" s="7">
        <f>SUMIFS(Лист2!C:C,Лист2!B:B,'общая таблица'!B142,Лист2!A:A,'общая таблица'!A142)</f>
        <v>18</v>
      </c>
      <c r="F142" s="7">
        <f>SUMIFS(Лист2!D:D,Лист2!B:B,'общая таблица'!B142,Лист2!A:A,'общая таблица'!A142)</f>
        <v>1505</v>
      </c>
      <c r="G142" s="7">
        <f>SUMIFS(Лист2!E:E,Лист2!B:B,'общая таблица'!B142,Лист2!A:A,'общая таблица'!A142)</f>
        <v>1368</v>
      </c>
      <c r="H142" s="18">
        <f t="shared" si="4"/>
        <v>57266083728</v>
      </c>
      <c r="I142" t="str">
        <f t="shared" si="5"/>
        <v>вторник</v>
      </c>
    </row>
    <row r="143" spans="1:9" ht="14.25" customHeight="1" x14ac:dyDescent="0.3">
      <c r="A143" s="15">
        <v>43950</v>
      </c>
      <c r="B143" s="17" t="s">
        <v>20</v>
      </c>
      <c r="C143" s="23">
        <v>25816.5</v>
      </c>
      <c r="D143" s="23">
        <v>2360914.5</v>
      </c>
      <c r="E143" s="7">
        <f>SUMIFS(Лист2!C:C,Лист2!B:B,'общая таблица'!B143,Лист2!A:A,'общая таблица'!A143)</f>
        <v>18</v>
      </c>
      <c r="F143" s="7">
        <f>SUMIFS(Лист2!D:D,Лист2!B:B,'общая таблица'!B143,Лист2!A:A,'общая таблица'!A143)</f>
        <v>1599</v>
      </c>
      <c r="G143" s="7">
        <f>SUMIFS(Лист2!E:E,Лист2!B:B,'общая таблица'!B143,Лист2!A:A,'общая таблица'!A143)</f>
        <v>1450</v>
      </c>
      <c r="H143" s="18">
        <f t="shared" si="4"/>
        <v>60950549189.25</v>
      </c>
      <c r="I143" t="str">
        <f t="shared" si="5"/>
        <v>среда</v>
      </c>
    </row>
    <row r="144" spans="1:9" ht="14.25" customHeight="1" x14ac:dyDescent="0.3">
      <c r="A144" s="5">
        <v>43951</v>
      </c>
      <c r="B144" s="6" t="s">
        <v>20</v>
      </c>
      <c r="C144" s="22">
        <v>27883.5</v>
      </c>
      <c r="D144" s="22">
        <v>2560080</v>
      </c>
      <c r="E144" s="7">
        <f>SUMIFS(Лист2!C:C,Лист2!B:B,'общая таблица'!B144,Лист2!A:A,'общая таблица'!A144)</f>
        <v>19</v>
      </c>
      <c r="F144" s="7">
        <f>SUMIFS(Лист2!D:D,Лист2!B:B,'общая таблица'!B144,Лист2!A:A,'общая таблица'!A144)</f>
        <v>1662</v>
      </c>
      <c r="G144" s="7">
        <f>SUMIFS(Лист2!E:E,Лист2!B:B,'общая таблица'!B144,Лист2!A:A,'общая таблица'!A144)</f>
        <v>1506</v>
      </c>
      <c r="H144" s="18">
        <f t="shared" si="4"/>
        <v>71383990680</v>
      </c>
      <c r="I144" t="str">
        <f t="shared" si="5"/>
        <v>четверг</v>
      </c>
    </row>
    <row r="145" spans="1:9" ht="14.25" customHeight="1" x14ac:dyDescent="0.3">
      <c r="A145" s="8">
        <v>43952</v>
      </c>
      <c r="B145" s="9" t="s">
        <v>20</v>
      </c>
      <c r="C145" s="21">
        <v>35190</v>
      </c>
      <c r="D145" s="21">
        <v>3168510</v>
      </c>
      <c r="E145" s="7">
        <f>SUMIFS(Лист2!C:C,Лист2!B:B,'общая таблица'!B145,Лист2!A:A,'общая таблица'!A145)</f>
        <v>19</v>
      </c>
      <c r="F145" s="7">
        <f>SUMIFS(Лист2!D:D,Лист2!B:B,'общая таблица'!B145,Лист2!A:A,'общая таблица'!A145)</f>
        <v>1987</v>
      </c>
      <c r="G145" s="7">
        <f>SUMIFS(Лист2!E:E,Лист2!B:B,'общая таблица'!B145,Лист2!A:A,'общая таблица'!A145)</f>
        <v>1791</v>
      </c>
      <c r="H145" s="18">
        <f t="shared" si="4"/>
        <v>111499866900</v>
      </c>
      <c r="I145" t="str">
        <f t="shared" si="5"/>
        <v>пятница</v>
      </c>
    </row>
    <row r="146" spans="1:9" ht="14.25" customHeight="1" x14ac:dyDescent="0.3">
      <c r="A146" s="14">
        <v>43953</v>
      </c>
      <c r="B146" s="16" t="s">
        <v>20</v>
      </c>
      <c r="C146" s="20">
        <v>18427.5</v>
      </c>
      <c r="D146" s="20">
        <v>1682851.5</v>
      </c>
      <c r="E146" s="7">
        <f>SUMIFS(Лист2!C:C,Лист2!B:B,'общая таблица'!B146,Лист2!A:A,'общая таблица'!A146)</f>
        <v>19</v>
      </c>
      <c r="F146" s="7">
        <f>SUMIFS(Лист2!D:D,Лист2!B:B,'общая таблица'!B146,Лист2!A:A,'общая таблица'!A146)</f>
        <v>1206</v>
      </c>
      <c r="G146" s="7">
        <f>SUMIFS(Лист2!E:E,Лист2!B:B,'общая таблица'!B146,Лист2!A:A,'общая таблица'!A146)</f>
        <v>1080</v>
      </c>
      <c r="H146" s="18">
        <f t="shared" si="4"/>
        <v>31010746016.25</v>
      </c>
      <c r="I146" t="str">
        <f t="shared" si="5"/>
        <v>суббота</v>
      </c>
    </row>
    <row r="147" spans="1:9" ht="14.25" customHeight="1" x14ac:dyDescent="0.3">
      <c r="A147" s="15">
        <v>43954</v>
      </c>
      <c r="B147" s="17" t="s">
        <v>20</v>
      </c>
      <c r="C147" s="23">
        <v>21343.5</v>
      </c>
      <c r="D147" s="23">
        <v>1906557</v>
      </c>
      <c r="E147" s="7">
        <f>SUMIFS(Лист2!C:C,Лист2!B:B,'общая таблица'!B147,Лист2!A:A,'общая таблица'!A147)</f>
        <v>19</v>
      </c>
      <c r="F147" s="7">
        <f>SUMIFS(Лист2!D:D,Лист2!B:B,'общая таблица'!B147,Лист2!A:A,'общая таблица'!A147)</f>
        <v>1314</v>
      </c>
      <c r="G147" s="7">
        <f>SUMIFS(Лист2!E:E,Лист2!B:B,'общая таблица'!B147,Лист2!A:A,'общая таблица'!A147)</f>
        <v>1192</v>
      </c>
      <c r="H147" s="18">
        <f t="shared" si="4"/>
        <v>40692599329.5</v>
      </c>
      <c r="I147" t="str">
        <f t="shared" si="5"/>
        <v>воскресенье</v>
      </c>
    </row>
    <row r="148" spans="1:9" ht="14.25" customHeight="1" x14ac:dyDescent="0.3">
      <c r="A148" s="5">
        <v>43955</v>
      </c>
      <c r="B148" s="6" t="s">
        <v>20</v>
      </c>
      <c r="C148" s="22">
        <v>23587.5</v>
      </c>
      <c r="D148" s="22">
        <v>2155668</v>
      </c>
      <c r="E148" s="7">
        <f>SUMIFS(Лист2!C:C,Лист2!B:B,'общая таблица'!B148,Лист2!A:A,'общая таблица'!A148)</f>
        <v>19</v>
      </c>
      <c r="F148" s="7">
        <f>SUMIFS(Лист2!D:D,Лист2!B:B,'общая таблица'!B148,Лист2!A:A,'общая таблица'!A148)</f>
        <v>1479</v>
      </c>
      <c r="G148" s="7">
        <f>SUMIFS(Лист2!E:E,Лист2!B:B,'общая таблица'!B148,Лист2!A:A,'общая таблица'!A148)</f>
        <v>1346</v>
      </c>
      <c r="H148" s="18">
        <f t="shared" si="4"/>
        <v>50846818950</v>
      </c>
      <c r="I148" t="str">
        <f t="shared" si="5"/>
        <v>понедельник</v>
      </c>
    </row>
    <row r="149" spans="1:9" ht="14.25" customHeight="1" x14ac:dyDescent="0.3">
      <c r="A149" s="8">
        <v>43956</v>
      </c>
      <c r="B149" s="9" t="s">
        <v>20</v>
      </c>
      <c r="C149" s="21">
        <v>26367</v>
      </c>
      <c r="D149" s="21">
        <v>2380333.5</v>
      </c>
      <c r="E149" s="7">
        <f>SUMIFS(Лист2!C:C,Лист2!B:B,'общая таблица'!B149,Лист2!A:A,'общая таблица'!A149)</f>
        <v>19</v>
      </c>
      <c r="F149" s="7">
        <f>SUMIFS(Лист2!D:D,Лист2!B:B,'общая таблица'!B149,Лист2!A:A,'общая таблица'!A149)</f>
        <v>1622</v>
      </c>
      <c r="G149" s="7">
        <f>SUMIFS(Лист2!E:E,Лист2!B:B,'общая таблица'!B149,Лист2!A:A,'общая таблица'!A149)</f>
        <v>1482</v>
      </c>
      <c r="H149" s="18">
        <f t="shared" si="4"/>
        <v>62762253394.5</v>
      </c>
      <c r="I149" t="str">
        <f t="shared" si="5"/>
        <v>вторник</v>
      </c>
    </row>
    <row r="150" spans="1:9" ht="14.25" customHeight="1" x14ac:dyDescent="0.3">
      <c r="A150" s="5">
        <v>43957</v>
      </c>
      <c r="B150" s="6" t="s">
        <v>20</v>
      </c>
      <c r="C150" s="22">
        <v>24337.5</v>
      </c>
      <c r="D150" s="22">
        <v>2159350.5</v>
      </c>
      <c r="E150" s="7">
        <f>SUMIFS(Лист2!C:C,Лист2!B:B,'общая таблица'!B150,Лист2!A:A,'общая таблица'!A150)</f>
        <v>19</v>
      </c>
      <c r="F150" s="7">
        <f>SUMIFS(Лист2!D:D,Лист2!B:B,'общая таблица'!B150,Лист2!A:A,'общая таблица'!A150)</f>
        <v>1509</v>
      </c>
      <c r="G150" s="7">
        <f>SUMIFS(Лист2!E:E,Лист2!B:B,'общая таблица'!B150,Лист2!A:A,'общая таблица'!A150)</f>
        <v>1374</v>
      </c>
      <c r="H150" s="18">
        <f t="shared" si="4"/>
        <v>52553192793.75</v>
      </c>
      <c r="I150" t="str">
        <f t="shared" si="5"/>
        <v>среда</v>
      </c>
    </row>
    <row r="151" spans="1:9" ht="14.25" customHeight="1" x14ac:dyDescent="0.3">
      <c r="A151" s="8">
        <v>43958</v>
      </c>
      <c r="B151" s="9" t="s">
        <v>20</v>
      </c>
      <c r="C151" s="21">
        <v>26184</v>
      </c>
      <c r="D151" s="21">
        <v>2308336.5</v>
      </c>
      <c r="E151" s="7">
        <f>SUMIFS(Лист2!C:C,Лист2!B:B,'общая таблица'!B151,Лист2!A:A,'общая таблица'!A151)</f>
        <v>19</v>
      </c>
      <c r="F151" s="7">
        <f>SUMIFS(Лист2!D:D,Лист2!B:B,'общая таблица'!B151,Лист2!A:A,'общая таблица'!A151)</f>
        <v>1580</v>
      </c>
      <c r="G151" s="7">
        <f>SUMIFS(Лист2!E:E,Лист2!B:B,'общая таблица'!B151,Лист2!A:A,'общая таблица'!A151)</f>
        <v>1435</v>
      </c>
      <c r="H151" s="18">
        <f t="shared" si="4"/>
        <v>60441482916</v>
      </c>
      <c r="I151" t="str">
        <f t="shared" si="5"/>
        <v>четверг</v>
      </c>
    </row>
    <row r="152" spans="1:9" ht="14.25" customHeight="1" x14ac:dyDescent="0.3">
      <c r="A152" s="5">
        <v>43959</v>
      </c>
      <c r="B152" s="6" t="s">
        <v>20</v>
      </c>
      <c r="C152" s="22">
        <v>25020</v>
      </c>
      <c r="D152" s="22">
        <v>2235960</v>
      </c>
      <c r="E152" s="7">
        <f>SUMIFS(Лист2!C:C,Лист2!B:B,'общая таблица'!B152,Лист2!A:A,'общая таблица'!A152)</f>
        <v>19</v>
      </c>
      <c r="F152" s="7">
        <f>SUMIFS(Лист2!D:D,Лист2!B:B,'общая таблица'!B152,Лист2!A:A,'общая таблица'!A152)</f>
        <v>1520</v>
      </c>
      <c r="G152" s="7">
        <f>SUMIFS(Лист2!E:E,Лист2!B:B,'общая таблица'!B152,Лист2!A:A,'общая таблица'!A152)</f>
        <v>1380</v>
      </c>
      <c r="H152" s="18">
        <f t="shared" si="4"/>
        <v>55943719200</v>
      </c>
      <c r="I152" t="str">
        <f t="shared" si="5"/>
        <v>пятница</v>
      </c>
    </row>
    <row r="153" spans="1:9" ht="14.25" customHeight="1" x14ac:dyDescent="0.3">
      <c r="A153" s="8">
        <v>43960</v>
      </c>
      <c r="B153" s="9" t="s">
        <v>20</v>
      </c>
      <c r="C153" s="21">
        <v>26271</v>
      </c>
      <c r="D153" s="21">
        <v>2384937</v>
      </c>
      <c r="E153" s="7">
        <f>SUMIFS(Лист2!C:C,Лист2!B:B,'общая таблица'!B153,Лист2!A:A,'общая таблица'!A153)</f>
        <v>19</v>
      </c>
      <c r="F153" s="7">
        <f>SUMIFS(Лист2!D:D,Лист2!B:B,'общая таблица'!B153,Лист2!A:A,'общая таблица'!A153)</f>
        <v>1542</v>
      </c>
      <c r="G153" s="7">
        <f>SUMIFS(Лист2!E:E,Лист2!B:B,'общая таблица'!B153,Лист2!A:A,'общая таблица'!A153)</f>
        <v>1412</v>
      </c>
      <c r="H153" s="18">
        <f t="shared" si="4"/>
        <v>62654679927</v>
      </c>
      <c r="I153" t="str">
        <f t="shared" si="5"/>
        <v>суббота</v>
      </c>
    </row>
    <row r="154" spans="1:9" ht="14.25" customHeight="1" x14ac:dyDescent="0.3">
      <c r="A154" s="14">
        <v>43961</v>
      </c>
      <c r="B154" s="16" t="s">
        <v>20</v>
      </c>
      <c r="C154" s="20">
        <v>31224</v>
      </c>
      <c r="D154" s="20">
        <v>2767270.5</v>
      </c>
      <c r="E154" s="7">
        <f>SUMIFS(Лист2!C:C,Лист2!B:B,'общая таблица'!B154,Лист2!A:A,'общая таблица'!A154)</f>
        <v>19</v>
      </c>
      <c r="F154" s="7">
        <f>SUMIFS(Лист2!D:D,Лист2!B:B,'общая таблица'!B154,Лист2!A:A,'общая таблица'!A154)</f>
        <v>1836</v>
      </c>
      <c r="G154" s="7">
        <f>SUMIFS(Лист2!E:E,Лист2!B:B,'общая таблица'!B154,Лист2!A:A,'общая таблица'!A154)</f>
        <v>1680</v>
      </c>
      <c r="H154" s="18">
        <f t="shared" si="4"/>
        <v>86405254092</v>
      </c>
      <c r="I154" t="str">
        <f t="shared" si="5"/>
        <v>воскресенье</v>
      </c>
    </row>
    <row r="155" spans="1:9" ht="14.25" customHeight="1" x14ac:dyDescent="0.3">
      <c r="A155" s="8">
        <v>43962</v>
      </c>
      <c r="B155" s="9" t="s">
        <v>20</v>
      </c>
      <c r="C155" s="21">
        <v>23629.5</v>
      </c>
      <c r="D155" s="21">
        <v>2164365</v>
      </c>
      <c r="E155" s="7">
        <f>SUMIFS(Лист2!C:C,Лист2!B:B,'общая таблица'!B155,Лист2!A:A,'общая таблица'!A155)</f>
        <v>19</v>
      </c>
      <c r="F155" s="7">
        <f>SUMIFS(Лист2!D:D,Лист2!B:B,'общая таблица'!B155,Лист2!A:A,'общая таблица'!A155)</f>
        <v>1527</v>
      </c>
      <c r="G155" s="7">
        <f>SUMIFS(Лист2!E:E,Лист2!B:B,'общая таблица'!B155,Лист2!A:A,'общая таблица'!A155)</f>
        <v>1389</v>
      </c>
      <c r="H155" s="18">
        <f t="shared" si="4"/>
        <v>51142862767.5</v>
      </c>
      <c r="I155" t="str">
        <f t="shared" si="5"/>
        <v>понедельник</v>
      </c>
    </row>
    <row r="156" spans="1:9" ht="14.25" customHeight="1" x14ac:dyDescent="0.3">
      <c r="A156" s="5">
        <v>43963</v>
      </c>
      <c r="B156" s="6" t="s">
        <v>20</v>
      </c>
      <c r="C156" s="22">
        <v>25483.5</v>
      </c>
      <c r="D156" s="22">
        <v>2243160</v>
      </c>
      <c r="E156" s="7">
        <f>SUMIFS(Лист2!C:C,Лист2!B:B,'общая таблица'!B156,Лист2!A:A,'общая таблица'!A156)</f>
        <v>19</v>
      </c>
      <c r="F156" s="7">
        <f>SUMIFS(Лист2!D:D,Лист2!B:B,'общая таблица'!B156,Лист2!A:A,'общая таблица'!A156)</f>
        <v>1598</v>
      </c>
      <c r="G156" s="7">
        <f>SUMIFS(Лист2!E:E,Лист2!B:B,'общая таблица'!B156,Лист2!A:A,'общая таблица'!A156)</f>
        <v>1454</v>
      </c>
      <c r="H156" s="18">
        <f t="shared" si="4"/>
        <v>57163567860</v>
      </c>
      <c r="I156" t="str">
        <f t="shared" si="5"/>
        <v>вторник</v>
      </c>
    </row>
    <row r="157" spans="1:9" ht="14.25" customHeight="1" x14ac:dyDescent="0.3">
      <c r="A157" s="15">
        <v>43964</v>
      </c>
      <c r="B157" s="17" t="s">
        <v>20</v>
      </c>
      <c r="C157" s="23">
        <v>25539</v>
      </c>
      <c r="D157" s="23">
        <v>2263651.5</v>
      </c>
      <c r="E157" s="7">
        <f>SUMIFS(Лист2!C:C,Лист2!B:B,'общая таблица'!B157,Лист2!A:A,'общая таблица'!A157)</f>
        <v>19</v>
      </c>
      <c r="F157" s="7">
        <f>SUMIFS(Лист2!D:D,Лист2!B:B,'общая таблица'!B157,Лист2!A:A,'общая таблица'!A157)</f>
        <v>1605</v>
      </c>
      <c r="G157" s="7">
        <f>SUMIFS(Лист2!E:E,Лист2!B:B,'общая таблица'!B157,Лист2!A:A,'общая таблица'!A157)</f>
        <v>1447</v>
      </c>
      <c r="H157" s="18">
        <f t="shared" si="4"/>
        <v>57811395658.5</v>
      </c>
      <c r="I157" t="str">
        <f t="shared" si="5"/>
        <v>среда</v>
      </c>
    </row>
    <row r="158" spans="1:9" ht="14.25" customHeight="1" x14ac:dyDescent="0.3">
      <c r="A158" s="5">
        <v>43965</v>
      </c>
      <c r="B158" s="6" t="s">
        <v>20</v>
      </c>
      <c r="C158" s="22">
        <v>25656</v>
      </c>
      <c r="D158" s="22">
        <v>2225341.5</v>
      </c>
      <c r="E158" s="7">
        <f>SUMIFS(Лист2!C:C,Лист2!B:B,'общая таблица'!B158,Лист2!A:A,'общая таблица'!A158)</f>
        <v>19</v>
      </c>
      <c r="F158" s="7">
        <f>SUMIFS(Лист2!D:D,Лист2!B:B,'общая таблица'!B158,Лист2!A:A,'общая таблица'!A158)</f>
        <v>1635</v>
      </c>
      <c r="G158" s="7">
        <f>SUMIFS(Лист2!E:E,Лист2!B:B,'общая таблица'!B158,Лист2!A:A,'общая таблица'!A158)</f>
        <v>1487</v>
      </c>
      <c r="H158" s="18">
        <f t="shared" si="4"/>
        <v>57093361524</v>
      </c>
      <c r="I158" t="str">
        <f t="shared" si="5"/>
        <v>четверг</v>
      </c>
    </row>
    <row r="159" spans="1:9" ht="14.25" customHeight="1" x14ac:dyDescent="0.3">
      <c r="A159" s="8">
        <v>43966</v>
      </c>
      <c r="B159" s="9" t="s">
        <v>20</v>
      </c>
      <c r="C159" s="21">
        <v>29283</v>
      </c>
      <c r="D159" s="21">
        <v>2477487</v>
      </c>
      <c r="E159" s="7">
        <f>SUMIFS(Лист2!C:C,Лист2!B:B,'общая таблица'!B159,Лист2!A:A,'общая таблица'!A159)</f>
        <v>19</v>
      </c>
      <c r="F159" s="7">
        <f>SUMIFS(Лист2!D:D,Лист2!B:B,'общая таблица'!B159,Лист2!A:A,'общая таблица'!A159)</f>
        <v>1780</v>
      </c>
      <c r="G159" s="7">
        <f>SUMIFS(Лист2!E:E,Лист2!B:B,'общая таблица'!B159,Лист2!A:A,'общая таблица'!A159)</f>
        <v>1615</v>
      </c>
      <c r="H159" s="18">
        <f t="shared" si="4"/>
        <v>72548251821</v>
      </c>
      <c r="I159" t="str">
        <f t="shared" si="5"/>
        <v>пятница</v>
      </c>
    </row>
    <row r="160" spans="1:9" ht="14.25" customHeight="1" x14ac:dyDescent="0.3">
      <c r="A160" s="5">
        <v>43967</v>
      </c>
      <c r="B160" s="6" t="s">
        <v>20</v>
      </c>
      <c r="C160" s="22">
        <v>34563</v>
      </c>
      <c r="D160" s="22">
        <v>2922883.5</v>
      </c>
      <c r="E160" s="7">
        <f>SUMIFS(Лист2!C:C,Лист2!B:B,'общая таблица'!B160,Лист2!A:A,'общая таблица'!A160)</f>
        <v>19</v>
      </c>
      <c r="F160" s="7">
        <f>SUMIFS(Лист2!D:D,Лист2!B:B,'общая таблица'!B160,Лист2!A:A,'общая таблица'!A160)</f>
        <v>2039</v>
      </c>
      <c r="G160" s="7">
        <f>SUMIFS(Лист2!E:E,Лист2!B:B,'общая таблица'!B160,Лист2!A:A,'общая таблица'!A160)</f>
        <v>1868</v>
      </c>
      <c r="H160" s="18">
        <f t="shared" si="4"/>
        <v>101023622410.5</v>
      </c>
      <c r="I160" t="str">
        <f t="shared" si="5"/>
        <v>суббота</v>
      </c>
    </row>
    <row r="161" spans="1:9" ht="14.25" customHeight="1" x14ac:dyDescent="0.3">
      <c r="A161" s="15">
        <v>43968</v>
      </c>
      <c r="B161" s="17" t="s">
        <v>20</v>
      </c>
      <c r="C161" s="23">
        <v>28275</v>
      </c>
      <c r="D161" s="23">
        <v>2435632.5</v>
      </c>
      <c r="E161" s="7">
        <f>SUMIFS(Лист2!C:C,Лист2!B:B,'общая таблица'!B161,Лист2!A:A,'общая таблица'!A161)</f>
        <v>19</v>
      </c>
      <c r="F161" s="7">
        <f>SUMIFS(Лист2!D:D,Лист2!B:B,'общая таблица'!B161,Лист2!A:A,'общая таблица'!A161)</f>
        <v>1790</v>
      </c>
      <c r="G161" s="7">
        <f>SUMIFS(Лист2!E:E,Лист2!B:B,'общая таблица'!B161,Лист2!A:A,'общая таблица'!A161)</f>
        <v>1633</v>
      </c>
      <c r="H161" s="18">
        <f t="shared" si="4"/>
        <v>68867508937.5</v>
      </c>
      <c r="I161" t="str">
        <f t="shared" si="5"/>
        <v>воскресенье</v>
      </c>
    </row>
    <row r="162" spans="1:9" ht="14.25" customHeight="1" x14ac:dyDescent="0.3">
      <c r="A162" s="14">
        <v>43969</v>
      </c>
      <c r="B162" s="16" t="s">
        <v>20</v>
      </c>
      <c r="C162" s="20">
        <v>27181.5</v>
      </c>
      <c r="D162" s="20">
        <v>2324490</v>
      </c>
      <c r="E162" s="7">
        <f>SUMIFS(Лист2!C:C,Лист2!B:B,'общая таблица'!B162,Лист2!A:A,'общая таблица'!A162)</f>
        <v>19</v>
      </c>
      <c r="F162" s="7">
        <f>SUMIFS(Лист2!D:D,Лист2!B:B,'общая таблица'!B162,Лист2!A:A,'общая таблица'!A162)</f>
        <v>1741</v>
      </c>
      <c r="G162" s="7">
        <f>SUMIFS(Лист2!E:E,Лист2!B:B,'общая таблица'!B162,Лист2!A:A,'общая таблица'!A162)</f>
        <v>1597</v>
      </c>
      <c r="H162" s="18">
        <f t="shared" si="4"/>
        <v>63183124935</v>
      </c>
      <c r="I162" t="str">
        <f t="shared" si="5"/>
        <v>понедельник</v>
      </c>
    </row>
    <row r="163" spans="1:9" ht="14.25" customHeight="1" x14ac:dyDescent="0.3">
      <c r="A163" s="8">
        <v>43970</v>
      </c>
      <c r="B163" s="9" t="s">
        <v>20</v>
      </c>
      <c r="C163" s="21">
        <v>28882.5</v>
      </c>
      <c r="D163" s="21">
        <v>2446530</v>
      </c>
      <c r="E163" s="7">
        <f>SUMIFS(Лист2!C:C,Лист2!B:B,'общая таблица'!B163,Лист2!A:A,'общая таблица'!A163)</f>
        <v>19</v>
      </c>
      <c r="F163" s="7">
        <f>SUMIFS(Лист2!D:D,Лист2!B:B,'общая таблица'!B163,Лист2!A:A,'общая таблица'!A163)</f>
        <v>1831</v>
      </c>
      <c r="G163" s="7">
        <f>SUMIFS(Лист2!E:E,Лист2!B:B,'общая таблица'!B163,Лист2!A:A,'общая таблица'!A163)</f>
        <v>1667</v>
      </c>
      <c r="H163" s="18">
        <f t="shared" si="4"/>
        <v>70661902725</v>
      </c>
      <c r="I163" t="str">
        <f t="shared" si="5"/>
        <v>вторник</v>
      </c>
    </row>
    <row r="164" spans="1:9" ht="14.25" customHeight="1" x14ac:dyDescent="0.3">
      <c r="A164" s="5">
        <v>43971</v>
      </c>
      <c r="B164" s="6" t="s">
        <v>20</v>
      </c>
      <c r="C164" s="22">
        <v>28849.5</v>
      </c>
      <c r="D164" s="22">
        <v>2520759</v>
      </c>
      <c r="E164" s="7">
        <f>SUMIFS(Лист2!C:C,Лист2!B:B,'общая таблица'!B164,Лист2!A:A,'общая таблица'!A164)</f>
        <v>19</v>
      </c>
      <c r="F164" s="7">
        <f>SUMIFS(Лист2!D:D,Лист2!B:B,'общая таблица'!B164,Лист2!A:A,'общая таблица'!A164)</f>
        <v>1823</v>
      </c>
      <c r="G164" s="7">
        <f>SUMIFS(Лист2!E:E,Лист2!B:B,'общая таблица'!B164,Лист2!A:A,'общая таблица'!A164)</f>
        <v>1678</v>
      </c>
      <c r="H164" s="18">
        <f t="shared" si="4"/>
        <v>72722636770.5</v>
      </c>
      <c r="I164" t="str">
        <f t="shared" si="5"/>
        <v>среда</v>
      </c>
    </row>
    <row r="165" spans="1:9" ht="14.25" customHeight="1" x14ac:dyDescent="0.3">
      <c r="A165" s="8">
        <v>43972</v>
      </c>
      <c r="B165" s="9" t="s">
        <v>20</v>
      </c>
      <c r="C165" s="21">
        <v>25362</v>
      </c>
      <c r="D165" s="21">
        <v>2198935.5</v>
      </c>
      <c r="E165" s="7">
        <f>SUMIFS(Лист2!C:C,Лист2!B:B,'общая таблица'!B165,Лист2!A:A,'общая таблица'!A165)</f>
        <v>19</v>
      </c>
      <c r="F165" s="7">
        <f>SUMIFS(Лист2!D:D,Лист2!B:B,'общая таблица'!B165,Лист2!A:A,'общая таблица'!A165)</f>
        <v>1650</v>
      </c>
      <c r="G165" s="7">
        <f>SUMIFS(Лист2!E:E,Лист2!B:B,'общая таблица'!B165,Лист2!A:A,'общая таблица'!A165)</f>
        <v>1505</v>
      </c>
      <c r="H165" s="18">
        <f t="shared" si="4"/>
        <v>55769402151</v>
      </c>
      <c r="I165" t="str">
        <f t="shared" si="5"/>
        <v>четверг</v>
      </c>
    </row>
    <row r="166" spans="1:9" ht="14.25" customHeight="1" x14ac:dyDescent="0.3">
      <c r="A166" s="14">
        <v>43973</v>
      </c>
      <c r="B166" s="16" t="s">
        <v>20</v>
      </c>
      <c r="C166" s="20">
        <v>30781.5</v>
      </c>
      <c r="D166" s="20">
        <v>2540715</v>
      </c>
      <c r="E166" s="7">
        <f>SUMIFS(Лист2!C:C,Лист2!B:B,'общая таблица'!B166,Лист2!A:A,'общая таблица'!A166)</f>
        <v>19</v>
      </c>
      <c r="F166" s="7">
        <f>SUMIFS(Лист2!D:D,Лист2!B:B,'общая таблица'!B166,Лист2!A:A,'общая таблица'!A166)</f>
        <v>1859</v>
      </c>
      <c r="G166" s="7">
        <f>SUMIFS(Лист2!E:E,Лист2!B:B,'общая таблица'!B166,Лист2!A:A,'общая таблица'!A166)</f>
        <v>1697</v>
      </c>
      <c r="H166" s="18">
        <f t="shared" si="4"/>
        <v>78207018772.5</v>
      </c>
      <c r="I166" t="str">
        <f t="shared" si="5"/>
        <v>пятница</v>
      </c>
    </row>
    <row r="167" spans="1:9" ht="14.25" customHeight="1" x14ac:dyDescent="0.3">
      <c r="A167" s="8">
        <v>43974</v>
      </c>
      <c r="B167" s="9" t="s">
        <v>20</v>
      </c>
      <c r="C167" s="21">
        <v>36997.5</v>
      </c>
      <c r="D167" s="21">
        <v>3089140.5</v>
      </c>
      <c r="E167" s="7">
        <f>SUMIFS(Лист2!C:C,Лист2!B:B,'общая таблица'!B167,Лист2!A:A,'общая таблица'!A167)</f>
        <v>19</v>
      </c>
      <c r="F167" s="7">
        <f>SUMIFS(Лист2!D:D,Лист2!B:B,'общая таблица'!B167,Лист2!A:A,'общая таблица'!A167)</f>
        <v>2195</v>
      </c>
      <c r="G167" s="7">
        <f>SUMIFS(Лист2!E:E,Лист2!B:B,'общая таблица'!B167,Лист2!A:A,'общая таблица'!A167)</f>
        <v>1999</v>
      </c>
      <c r="H167" s="18">
        <f t="shared" si="4"/>
        <v>114290475648.75</v>
      </c>
      <c r="I167" t="str">
        <f t="shared" si="5"/>
        <v>суббота</v>
      </c>
    </row>
    <row r="168" spans="1:9" ht="14.25" customHeight="1" x14ac:dyDescent="0.3">
      <c r="A168" s="5">
        <v>43975</v>
      </c>
      <c r="B168" s="6" t="s">
        <v>20</v>
      </c>
      <c r="C168" s="22">
        <v>29824.5</v>
      </c>
      <c r="D168" s="22">
        <v>2526909</v>
      </c>
      <c r="E168" s="7">
        <f>SUMIFS(Лист2!C:C,Лист2!B:B,'общая таблица'!B168,Лист2!A:A,'общая таблица'!A168)</f>
        <v>19</v>
      </c>
      <c r="F168" s="7">
        <f>SUMIFS(Лист2!D:D,Лист2!B:B,'общая таблица'!B168,Лист2!A:A,'общая таблица'!A168)</f>
        <v>1868</v>
      </c>
      <c r="G168" s="7">
        <f>SUMIFS(Лист2!E:E,Лист2!B:B,'общая таблица'!B168,Лист2!A:A,'общая таблица'!A168)</f>
        <v>1706</v>
      </c>
      <c r="H168" s="18">
        <f t="shared" si="4"/>
        <v>75363797470.5</v>
      </c>
      <c r="I168" t="str">
        <f t="shared" si="5"/>
        <v>воскресенье</v>
      </c>
    </row>
    <row r="169" spans="1:9" ht="14.25" customHeight="1" x14ac:dyDescent="0.3">
      <c r="A169" s="8">
        <v>43976</v>
      </c>
      <c r="B169" s="9" t="s">
        <v>20</v>
      </c>
      <c r="C169" s="21">
        <v>28494</v>
      </c>
      <c r="D169" s="21">
        <v>2512803</v>
      </c>
      <c r="E169" s="7">
        <f>SUMIFS(Лист2!C:C,Лист2!B:B,'общая таблица'!B169,Лист2!A:A,'общая таблица'!A169)</f>
        <v>20</v>
      </c>
      <c r="F169" s="7">
        <f>SUMIFS(Лист2!D:D,Лист2!B:B,'общая таблица'!B169,Лист2!A:A,'общая таблица'!A169)</f>
        <v>1899</v>
      </c>
      <c r="G169" s="7">
        <f>SUMIFS(Лист2!E:E,Лист2!B:B,'общая таблица'!B169,Лист2!A:A,'общая таблица'!A169)</f>
        <v>1738</v>
      </c>
      <c r="H169" s="18">
        <f t="shared" si="4"/>
        <v>71599808682</v>
      </c>
      <c r="I169" t="str">
        <f t="shared" si="5"/>
        <v>понедельник</v>
      </c>
    </row>
    <row r="170" spans="1:9" ht="14.25" customHeight="1" x14ac:dyDescent="0.3">
      <c r="A170" s="5">
        <v>43977</v>
      </c>
      <c r="B170" s="6" t="s">
        <v>20</v>
      </c>
      <c r="C170" s="22">
        <v>27156</v>
      </c>
      <c r="D170" s="22">
        <v>2410803</v>
      </c>
      <c r="E170" s="7">
        <f>SUMIFS(Лист2!C:C,Лист2!B:B,'общая таблица'!B170,Лист2!A:A,'общая таблица'!A170)</f>
        <v>20</v>
      </c>
      <c r="F170" s="7">
        <f>SUMIFS(Лист2!D:D,Лист2!B:B,'общая таблица'!B170,Лист2!A:A,'общая таблица'!A170)</f>
        <v>1814</v>
      </c>
      <c r="G170" s="7">
        <f>SUMIFS(Лист2!E:E,Лист2!B:B,'общая таблица'!B170,Лист2!A:A,'общая таблица'!A170)</f>
        <v>1655</v>
      </c>
      <c r="H170" s="18">
        <f t="shared" si="4"/>
        <v>65467766268</v>
      </c>
      <c r="I170" t="str">
        <f t="shared" si="5"/>
        <v>вторник</v>
      </c>
    </row>
    <row r="171" spans="1:9" ht="14.25" customHeight="1" x14ac:dyDescent="0.3">
      <c r="A171" s="15">
        <v>43978</v>
      </c>
      <c r="B171" s="17" t="s">
        <v>20</v>
      </c>
      <c r="C171" s="23">
        <v>28050</v>
      </c>
      <c r="D171" s="23">
        <v>2458555.5</v>
      </c>
      <c r="E171" s="7">
        <f>SUMIFS(Лист2!C:C,Лист2!B:B,'общая таблица'!B171,Лист2!A:A,'общая таблица'!A171)</f>
        <v>20</v>
      </c>
      <c r="F171" s="7">
        <f>SUMIFS(Лист2!D:D,Лист2!B:B,'общая таблица'!B171,Лист2!A:A,'общая таблица'!A171)</f>
        <v>1873</v>
      </c>
      <c r="G171" s="7">
        <f>SUMIFS(Лист2!E:E,Лист2!B:B,'общая таблица'!B171,Лист2!A:A,'общая таблица'!A171)</f>
        <v>1715</v>
      </c>
      <c r="H171" s="18">
        <f t="shared" si="4"/>
        <v>68962481775</v>
      </c>
      <c r="I171" t="str">
        <f t="shared" si="5"/>
        <v>среда</v>
      </c>
    </row>
    <row r="172" spans="1:9" ht="14.25" customHeight="1" x14ac:dyDescent="0.3">
      <c r="A172" s="14">
        <v>43979</v>
      </c>
      <c r="B172" s="16" t="s">
        <v>20</v>
      </c>
      <c r="C172" s="20">
        <v>28197</v>
      </c>
      <c r="D172" s="20">
        <v>2559211.5</v>
      </c>
      <c r="E172" s="7">
        <f>SUMIFS(Лист2!C:C,Лист2!B:B,'общая таблица'!B172,Лист2!A:A,'общая таблица'!A172)</f>
        <v>20</v>
      </c>
      <c r="F172" s="7">
        <f>SUMIFS(Лист2!D:D,Лист2!B:B,'общая таблица'!B172,Лист2!A:A,'общая таблица'!A172)</f>
        <v>1875</v>
      </c>
      <c r="G172" s="7">
        <f>SUMIFS(Лист2!E:E,Лист2!B:B,'общая таблица'!B172,Лист2!A:A,'общая таблица'!A172)</f>
        <v>1701</v>
      </c>
      <c r="H172" s="18">
        <f t="shared" si="4"/>
        <v>72162086665.5</v>
      </c>
      <c r="I172" t="str">
        <f t="shared" si="5"/>
        <v>четверг</v>
      </c>
    </row>
    <row r="173" spans="1:9" ht="14.25" customHeight="1" x14ac:dyDescent="0.3">
      <c r="A173" s="15">
        <v>43980</v>
      </c>
      <c r="B173" s="17" t="s">
        <v>20</v>
      </c>
      <c r="C173" s="23">
        <v>32782.5</v>
      </c>
      <c r="D173" s="23">
        <v>2854741.5</v>
      </c>
      <c r="E173" s="7">
        <f>SUMIFS(Лист2!C:C,Лист2!B:B,'общая таблица'!B173,Лист2!A:A,'общая таблица'!A173)</f>
        <v>20</v>
      </c>
      <c r="F173" s="7">
        <f>SUMIFS(Лист2!D:D,Лист2!B:B,'общая таблица'!B173,Лист2!A:A,'общая таблица'!A173)</f>
        <v>2064</v>
      </c>
      <c r="G173" s="7">
        <f>SUMIFS(Лист2!E:E,Лист2!B:B,'общая таблица'!B173,Лист2!A:A,'общая таблица'!A173)</f>
        <v>1896</v>
      </c>
      <c r="H173" s="18">
        <f t="shared" si="4"/>
        <v>93585563223.75</v>
      </c>
      <c r="I173" t="str">
        <f t="shared" si="5"/>
        <v>пятница</v>
      </c>
    </row>
    <row r="174" spans="1:9" ht="14.25" customHeight="1" x14ac:dyDescent="0.3">
      <c r="A174" s="5">
        <v>43981</v>
      </c>
      <c r="B174" s="6" t="s">
        <v>20</v>
      </c>
      <c r="C174" s="22">
        <v>34681.5</v>
      </c>
      <c r="D174" s="22">
        <v>3005334</v>
      </c>
      <c r="E174" s="7">
        <f>SUMIFS(Лист2!C:C,Лист2!B:B,'общая таблица'!B174,Лист2!A:A,'общая таблица'!A174)</f>
        <v>20</v>
      </c>
      <c r="F174" s="7">
        <f>SUMIFS(Лист2!D:D,Лист2!B:B,'общая таблица'!B174,Лист2!A:A,'общая таблица'!A174)</f>
        <v>2174</v>
      </c>
      <c r="G174" s="7">
        <f>SUMIFS(Лист2!E:E,Лист2!B:B,'общая таблица'!B174,Лист2!A:A,'общая таблица'!A174)</f>
        <v>1957</v>
      </c>
      <c r="H174" s="18">
        <f t="shared" si="4"/>
        <v>104229491121</v>
      </c>
      <c r="I174" t="str">
        <f t="shared" si="5"/>
        <v>суббота</v>
      </c>
    </row>
    <row r="175" spans="1:9" ht="14.25" customHeight="1" x14ac:dyDescent="0.3">
      <c r="A175" s="8">
        <v>43982</v>
      </c>
      <c r="B175" s="9" t="s">
        <v>20</v>
      </c>
      <c r="C175" s="21">
        <v>31372.5</v>
      </c>
      <c r="D175" s="21">
        <v>2794324.5</v>
      </c>
      <c r="E175" s="7">
        <f>SUMIFS(Лист2!C:C,Лист2!B:B,'общая таблица'!B175,Лист2!A:A,'общая таблица'!A175)</f>
        <v>21</v>
      </c>
      <c r="F175" s="7">
        <f>SUMIFS(Лист2!D:D,Лист2!B:B,'общая таблица'!B175,Лист2!A:A,'общая таблица'!A175)</f>
        <v>2056</v>
      </c>
      <c r="G175" s="7">
        <f>SUMIFS(Лист2!E:E,Лист2!B:B,'общая таблица'!B175,Лист2!A:A,'общая таблица'!A175)</f>
        <v>1879</v>
      </c>
      <c r="H175" s="18">
        <f t="shared" si="4"/>
        <v>87664945376.25</v>
      </c>
      <c r="I175" t="str">
        <f t="shared" si="5"/>
        <v>воскресенье</v>
      </c>
    </row>
    <row r="176" spans="1:9" ht="14.25" customHeight="1" x14ac:dyDescent="0.3">
      <c r="A176" s="5">
        <v>43983</v>
      </c>
      <c r="B176" s="6" t="s">
        <v>20</v>
      </c>
      <c r="C176" s="22">
        <v>27960</v>
      </c>
      <c r="D176" s="22">
        <v>2538967.5</v>
      </c>
      <c r="E176" s="7">
        <f>SUMIFS(Лист2!C:C,Лист2!B:B,'общая таблица'!B176,Лист2!A:A,'общая таблица'!A176)</f>
        <v>21</v>
      </c>
      <c r="F176" s="7">
        <f>SUMIFS(Лист2!D:D,Лист2!B:B,'общая таблица'!B176,Лист2!A:A,'общая таблица'!A176)</f>
        <v>1879</v>
      </c>
      <c r="G176" s="7">
        <f>SUMIFS(Лист2!E:E,Лист2!B:B,'общая таблица'!B176,Лист2!A:A,'общая таблица'!A176)</f>
        <v>1720</v>
      </c>
      <c r="H176" s="18">
        <f t="shared" si="4"/>
        <v>70989531300</v>
      </c>
      <c r="I176" t="str">
        <f t="shared" si="5"/>
        <v>понедельник</v>
      </c>
    </row>
    <row r="177" spans="1:9" ht="14.25" customHeight="1" x14ac:dyDescent="0.3">
      <c r="A177" s="8">
        <v>43949</v>
      </c>
      <c r="B177" s="9" t="s">
        <v>22</v>
      </c>
      <c r="C177" s="21">
        <v>195705</v>
      </c>
      <c r="D177" s="21">
        <v>20003263.5</v>
      </c>
      <c r="E177" s="7">
        <f>SUMIFS(Лист2!C:C,Лист2!B:B,'общая таблица'!B177,Лист2!A:A,'общая таблица'!A177)</f>
        <v>54</v>
      </c>
      <c r="F177" s="7">
        <f>SUMIFS(Лист2!D:D,Лист2!B:B,'общая таблица'!B177,Лист2!A:A,'общая таблица'!A177)</f>
        <v>12306</v>
      </c>
      <c r="G177" s="7">
        <f>SUMIFS(Лист2!E:E,Лист2!B:B,'общая таблица'!B177,Лист2!A:A,'общая таблица'!A177)</f>
        <v>11532</v>
      </c>
      <c r="H177" s="18">
        <f t="shared" si="4"/>
        <v>3914738683267.5</v>
      </c>
      <c r="I177" t="str">
        <f t="shared" si="5"/>
        <v>вторник</v>
      </c>
    </row>
    <row r="178" spans="1:9" ht="14.25" customHeight="1" x14ac:dyDescent="0.3">
      <c r="A178" s="14">
        <v>43950</v>
      </c>
      <c r="B178" s="16" t="s">
        <v>22</v>
      </c>
      <c r="C178" s="20">
        <v>203209.5</v>
      </c>
      <c r="D178" s="20">
        <v>20871391.5</v>
      </c>
      <c r="E178" s="7">
        <f>SUMIFS(Лист2!C:C,Лист2!B:B,'общая таблица'!B178,Лист2!A:A,'общая таблица'!A178)</f>
        <v>54</v>
      </c>
      <c r="F178" s="7">
        <f>SUMIFS(Лист2!D:D,Лист2!B:B,'общая таблица'!B178,Лист2!A:A,'общая таблица'!A178)</f>
        <v>12747</v>
      </c>
      <c r="G178" s="7">
        <f>SUMIFS(Лист2!E:E,Лист2!B:B,'общая таблица'!B178,Лист2!A:A,'общая таблица'!A178)</f>
        <v>11884</v>
      </c>
      <c r="H178" s="18">
        <f t="shared" si="4"/>
        <v>4241265031019.25</v>
      </c>
      <c r="I178" t="str">
        <f t="shared" si="5"/>
        <v>среда</v>
      </c>
    </row>
    <row r="179" spans="1:9" ht="14.25" customHeight="1" x14ac:dyDescent="0.3">
      <c r="A179" s="15">
        <v>43951</v>
      </c>
      <c r="B179" s="17" t="s">
        <v>22</v>
      </c>
      <c r="C179" s="23">
        <v>206038.5</v>
      </c>
      <c r="D179" s="23">
        <v>21740460</v>
      </c>
      <c r="E179" s="7">
        <f>SUMIFS(Лист2!C:C,Лист2!B:B,'общая таблица'!B179,Лист2!A:A,'общая таблица'!A179)</f>
        <v>54</v>
      </c>
      <c r="F179" s="7">
        <f>SUMIFS(Лист2!D:D,Лист2!B:B,'общая таблица'!B179,Лист2!A:A,'общая таблица'!A179)</f>
        <v>12817</v>
      </c>
      <c r="G179" s="7">
        <f>SUMIFS(Лист2!E:E,Лист2!B:B,'общая таблица'!B179,Лист2!A:A,'общая таблица'!A179)</f>
        <v>11865</v>
      </c>
      <c r="H179" s="18">
        <f t="shared" si="4"/>
        <v>4479371767710</v>
      </c>
      <c r="I179" t="str">
        <f t="shared" si="5"/>
        <v>четверг</v>
      </c>
    </row>
    <row r="180" spans="1:9" ht="14.25" customHeight="1" x14ac:dyDescent="0.3">
      <c r="A180" s="14">
        <v>43952</v>
      </c>
      <c r="B180" s="16" t="s">
        <v>22</v>
      </c>
      <c r="C180" s="20">
        <v>226540.5</v>
      </c>
      <c r="D180" s="20">
        <v>23953536</v>
      </c>
      <c r="E180" s="7">
        <f>SUMIFS(Лист2!C:C,Лист2!B:B,'общая таблица'!B180,Лист2!A:A,'общая таблица'!A180)</f>
        <v>54</v>
      </c>
      <c r="F180" s="7">
        <f>SUMIFS(Лист2!D:D,Лист2!B:B,'общая таблица'!B180,Лист2!A:A,'общая таблица'!A180)</f>
        <v>14205</v>
      </c>
      <c r="G180" s="7">
        <f>SUMIFS(Лист2!E:E,Лист2!B:B,'общая таблица'!B180,Лист2!A:A,'общая таблица'!A180)</f>
        <v>13026</v>
      </c>
      <c r="H180" s="18">
        <f t="shared" si="4"/>
        <v>5426446022208</v>
      </c>
      <c r="I180" t="str">
        <f t="shared" si="5"/>
        <v>пятница</v>
      </c>
    </row>
    <row r="181" spans="1:9" ht="14.25" customHeight="1" x14ac:dyDescent="0.3">
      <c r="A181" s="8">
        <v>43953</v>
      </c>
      <c r="B181" s="9" t="s">
        <v>22</v>
      </c>
      <c r="C181" s="21">
        <v>176397</v>
      </c>
      <c r="D181" s="21">
        <v>18625921.5</v>
      </c>
      <c r="E181" s="7">
        <f>SUMIFS(Лист2!C:C,Лист2!B:B,'общая таблица'!B181,Лист2!A:A,'общая таблица'!A181)</f>
        <v>54</v>
      </c>
      <c r="F181" s="7">
        <f>SUMIFS(Лист2!D:D,Лист2!B:B,'общая таблица'!B181,Лист2!A:A,'общая таблица'!A181)</f>
        <v>11622</v>
      </c>
      <c r="G181" s="7">
        <f>SUMIFS(Лист2!E:E,Лист2!B:B,'общая таблица'!B181,Лист2!A:A,'общая таблица'!A181)</f>
        <v>10754</v>
      </c>
      <c r="H181" s="18">
        <f t="shared" si="4"/>
        <v>3285556674835.5</v>
      </c>
      <c r="I181" t="str">
        <f t="shared" si="5"/>
        <v>суббота</v>
      </c>
    </row>
    <row r="182" spans="1:9" ht="14.25" customHeight="1" x14ac:dyDescent="0.3">
      <c r="A182" s="5">
        <v>43954</v>
      </c>
      <c r="B182" s="6" t="s">
        <v>22</v>
      </c>
      <c r="C182" s="22">
        <v>248148</v>
      </c>
      <c r="D182" s="22">
        <v>25519072.5</v>
      </c>
      <c r="E182" s="7">
        <f>SUMIFS(Лист2!C:C,Лист2!B:B,'общая таблица'!B182,Лист2!A:A,'общая таблица'!A182)</f>
        <v>54</v>
      </c>
      <c r="F182" s="7">
        <f>SUMIFS(Лист2!D:D,Лист2!B:B,'общая таблица'!B182,Лист2!A:A,'общая таблица'!A182)</f>
        <v>14823</v>
      </c>
      <c r="G182" s="7">
        <f>SUMIFS(Лист2!E:E,Лист2!B:B,'общая таблица'!B182,Лист2!A:A,'общая таблица'!A182)</f>
        <v>13751</v>
      </c>
      <c r="H182" s="18">
        <f t="shared" si="4"/>
        <v>6332506802730</v>
      </c>
      <c r="I182" t="str">
        <f t="shared" si="5"/>
        <v>воскресенье</v>
      </c>
    </row>
    <row r="183" spans="1:9" ht="14.25" customHeight="1" x14ac:dyDescent="0.3">
      <c r="A183" s="15">
        <v>43955</v>
      </c>
      <c r="B183" s="17" t="s">
        <v>22</v>
      </c>
      <c r="C183" s="23">
        <v>223617</v>
      </c>
      <c r="D183" s="23">
        <v>22796827.5</v>
      </c>
      <c r="E183" s="7">
        <f>SUMIFS(Лист2!C:C,Лист2!B:B,'общая таблица'!B183,Лист2!A:A,'общая таблица'!A183)</f>
        <v>54</v>
      </c>
      <c r="F183" s="7">
        <f>SUMIFS(Лист2!D:D,Лист2!B:B,'общая таблица'!B183,Лист2!A:A,'общая таблица'!A183)</f>
        <v>13606</v>
      </c>
      <c r="G183" s="7">
        <f>SUMIFS(Лист2!E:E,Лист2!B:B,'общая таблица'!B183,Лист2!A:A,'общая таблица'!A183)</f>
        <v>12697</v>
      </c>
      <c r="H183" s="18">
        <f t="shared" si="4"/>
        <v>5097758175067.5</v>
      </c>
      <c r="I183" t="str">
        <f t="shared" si="5"/>
        <v>понедельник</v>
      </c>
    </row>
    <row r="184" spans="1:9" ht="14.25" customHeight="1" x14ac:dyDescent="0.3">
      <c r="A184" s="14">
        <v>43956</v>
      </c>
      <c r="B184" s="16" t="s">
        <v>22</v>
      </c>
      <c r="C184" s="20">
        <v>203832</v>
      </c>
      <c r="D184" s="20">
        <v>20880142.5</v>
      </c>
      <c r="E184" s="7">
        <f>SUMIFS(Лист2!C:C,Лист2!B:B,'общая таблица'!B184,Лист2!A:A,'общая таблица'!A184)</f>
        <v>54</v>
      </c>
      <c r="F184" s="7">
        <f>SUMIFS(Лист2!D:D,Лист2!B:B,'общая таблица'!B184,Лист2!A:A,'общая таблица'!A184)</f>
        <v>12775</v>
      </c>
      <c r="G184" s="7">
        <f>SUMIFS(Лист2!E:E,Лист2!B:B,'общая таблица'!B184,Лист2!A:A,'общая таблица'!A184)</f>
        <v>11887</v>
      </c>
      <c r="H184" s="18">
        <f t="shared" si="4"/>
        <v>4256041206060</v>
      </c>
      <c r="I184" t="str">
        <f t="shared" si="5"/>
        <v>вторник</v>
      </c>
    </row>
    <row r="185" spans="1:9" ht="14.25" customHeight="1" x14ac:dyDescent="0.3">
      <c r="A185" s="15">
        <v>43957</v>
      </c>
      <c r="B185" s="17" t="s">
        <v>22</v>
      </c>
      <c r="C185" s="23">
        <v>216498</v>
      </c>
      <c r="D185" s="23">
        <v>22126444.5</v>
      </c>
      <c r="E185" s="7">
        <f>SUMIFS(Лист2!C:C,Лист2!B:B,'общая таблица'!B185,Лист2!A:A,'общая таблица'!A185)</f>
        <v>54</v>
      </c>
      <c r="F185" s="7">
        <f>SUMIFS(Лист2!D:D,Лист2!B:B,'общая таблица'!B185,Лист2!A:A,'общая таблица'!A185)</f>
        <v>13406</v>
      </c>
      <c r="G185" s="7">
        <f>SUMIFS(Лист2!E:E,Лист2!B:B,'общая таблица'!B185,Лист2!A:A,'общая таблица'!A185)</f>
        <v>12518</v>
      </c>
      <c r="H185" s="18">
        <f t="shared" si="4"/>
        <v>4790330981361</v>
      </c>
      <c r="I185" t="str">
        <f t="shared" si="5"/>
        <v>среда</v>
      </c>
    </row>
    <row r="186" spans="1:9" ht="14.25" customHeight="1" x14ac:dyDescent="0.3">
      <c r="A186" s="14">
        <v>43958</v>
      </c>
      <c r="B186" s="16" t="s">
        <v>22</v>
      </c>
      <c r="C186" s="20">
        <v>209415</v>
      </c>
      <c r="D186" s="20">
        <v>21463023</v>
      </c>
      <c r="E186" s="7">
        <f>SUMIFS(Лист2!C:C,Лист2!B:B,'общая таблица'!B186,Лист2!A:A,'общая таблица'!A186)</f>
        <v>54</v>
      </c>
      <c r="F186" s="7">
        <f>SUMIFS(Лист2!D:D,Лист2!B:B,'общая таблица'!B186,Лист2!A:A,'общая таблица'!A186)</f>
        <v>12743</v>
      </c>
      <c r="G186" s="7">
        <f>SUMIFS(Лист2!E:E,Лист2!B:B,'общая таблица'!B186,Лист2!A:A,'общая таблица'!A186)</f>
        <v>11858</v>
      </c>
      <c r="H186" s="18">
        <f t="shared" si="4"/>
        <v>4494678961545</v>
      </c>
      <c r="I186" t="str">
        <f t="shared" si="5"/>
        <v>четверг</v>
      </c>
    </row>
    <row r="187" spans="1:9" ht="14.25" customHeight="1" x14ac:dyDescent="0.3">
      <c r="A187" s="15">
        <v>43959</v>
      </c>
      <c r="B187" s="17" t="s">
        <v>22</v>
      </c>
      <c r="C187" s="23">
        <v>225076.5</v>
      </c>
      <c r="D187" s="23">
        <v>22846078.5</v>
      </c>
      <c r="E187" s="7">
        <f>SUMIFS(Лист2!C:C,Лист2!B:B,'общая таблица'!B187,Лист2!A:A,'общая таблица'!A187)</f>
        <v>54</v>
      </c>
      <c r="F187" s="7">
        <f>SUMIFS(Лист2!D:D,Лист2!B:B,'общая таблица'!B187,Лист2!A:A,'общая таблица'!A187)</f>
        <v>13563</v>
      </c>
      <c r="G187" s="7">
        <f>SUMIFS(Лист2!E:E,Лист2!B:B,'общая таблица'!B187,Лист2!A:A,'общая таблица'!A187)</f>
        <v>12604</v>
      </c>
      <c r="H187" s="18">
        <f t="shared" si="4"/>
        <v>5142115387505.25</v>
      </c>
      <c r="I187" t="str">
        <f t="shared" si="5"/>
        <v>пятница</v>
      </c>
    </row>
    <row r="188" spans="1:9" ht="14.25" customHeight="1" x14ac:dyDescent="0.3">
      <c r="A188" s="14">
        <v>43960</v>
      </c>
      <c r="B188" s="16" t="s">
        <v>22</v>
      </c>
      <c r="C188" s="20">
        <v>177976.5</v>
      </c>
      <c r="D188" s="20">
        <v>18085798.5</v>
      </c>
      <c r="E188" s="7">
        <f>SUMIFS(Лист2!C:C,Лист2!B:B,'общая таблица'!B188,Лист2!A:A,'общая таблица'!A188)</f>
        <v>54</v>
      </c>
      <c r="F188" s="7">
        <f>SUMIFS(Лист2!D:D,Лист2!B:B,'общая таблица'!B188,Лист2!A:A,'общая таблица'!A188)</f>
        <v>11288</v>
      </c>
      <c r="G188" s="7">
        <f>SUMIFS(Лист2!E:E,Лист2!B:B,'общая таблица'!B188,Лист2!A:A,'общая таблица'!A188)</f>
        <v>10492</v>
      </c>
      <c r="H188" s="18">
        <f t="shared" si="4"/>
        <v>3218847116735.25</v>
      </c>
      <c r="I188" t="str">
        <f t="shared" si="5"/>
        <v>суббота</v>
      </c>
    </row>
    <row r="189" spans="1:9" ht="14.25" customHeight="1" x14ac:dyDescent="0.3">
      <c r="A189" s="8">
        <v>43961</v>
      </c>
      <c r="B189" s="9" t="s">
        <v>22</v>
      </c>
      <c r="C189" s="21">
        <v>231559.5</v>
      </c>
      <c r="D189" s="21">
        <v>23443725</v>
      </c>
      <c r="E189" s="7">
        <f>SUMIFS(Лист2!C:C,Лист2!B:B,'общая таблица'!B189,Лист2!A:A,'общая таблица'!A189)</f>
        <v>54</v>
      </c>
      <c r="F189" s="7">
        <f>SUMIFS(Лист2!D:D,Лист2!B:B,'общая таблица'!B189,Лист2!A:A,'общая таблица'!A189)</f>
        <v>13832</v>
      </c>
      <c r="G189" s="7">
        <f>SUMIFS(Лист2!E:E,Лист2!B:B,'общая таблица'!B189,Лист2!A:A,'общая таблица'!A189)</f>
        <v>12864</v>
      </c>
      <c r="H189" s="18">
        <f t="shared" si="4"/>
        <v>5428617239137.5</v>
      </c>
      <c r="I189" t="str">
        <f t="shared" si="5"/>
        <v>воскресенье</v>
      </c>
    </row>
    <row r="190" spans="1:9" ht="14.25" customHeight="1" x14ac:dyDescent="0.3">
      <c r="A190" s="14">
        <v>43962</v>
      </c>
      <c r="B190" s="16" t="s">
        <v>22</v>
      </c>
      <c r="C190" s="20">
        <v>166948.5</v>
      </c>
      <c r="D190" s="20">
        <v>16971231</v>
      </c>
      <c r="E190" s="7">
        <f>SUMIFS(Лист2!C:C,Лист2!B:B,'общая таблица'!B190,Лист2!A:A,'общая таблица'!A190)</f>
        <v>54</v>
      </c>
      <c r="F190" s="7">
        <f>SUMIFS(Лист2!D:D,Лист2!B:B,'общая таблица'!B190,Лист2!A:A,'общая таблица'!A190)</f>
        <v>10570</v>
      </c>
      <c r="G190" s="7">
        <f>SUMIFS(Лист2!E:E,Лист2!B:B,'общая таблица'!B190,Лист2!A:A,'общая таблица'!A190)</f>
        <v>9926</v>
      </c>
      <c r="H190" s="18">
        <f t="shared" si="4"/>
        <v>2833321558603.5</v>
      </c>
      <c r="I190" t="str">
        <f t="shared" si="5"/>
        <v>понедельник</v>
      </c>
    </row>
    <row r="191" spans="1:9" ht="14.25" customHeight="1" x14ac:dyDescent="0.3">
      <c r="A191" s="15">
        <v>43963</v>
      </c>
      <c r="B191" s="17" t="s">
        <v>22</v>
      </c>
      <c r="C191" s="23">
        <v>189679.5</v>
      </c>
      <c r="D191" s="23">
        <v>18718036.5</v>
      </c>
      <c r="E191" s="7">
        <f>SUMIFS(Лист2!C:C,Лист2!B:B,'общая таблица'!B191,Лист2!A:A,'общая таблица'!A191)</f>
        <v>54</v>
      </c>
      <c r="F191" s="7">
        <f>SUMIFS(Лист2!D:D,Лист2!B:B,'общая таблица'!B191,Лист2!A:A,'общая таблица'!A191)</f>
        <v>11614</v>
      </c>
      <c r="G191" s="7">
        <f>SUMIFS(Лист2!E:E,Лист2!B:B,'общая таблица'!B191,Лист2!A:A,'общая таблица'!A191)</f>
        <v>10862</v>
      </c>
      <c r="H191" s="18">
        <f t="shared" si="4"/>
        <v>3550427804301.75</v>
      </c>
      <c r="I191" t="str">
        <f t="shared" si="5"/>
        <v>вторник</v>
      </c>
    </row>
    <row r="192" spans="1:9" ht="14.25" customHeight="1" x14ac:dyDescent="0.3">
      <c r="A192" s="5">
        <v>43964</v>
      </c>
      <c r="B192" s="6" t="s">
        <v>22</v>
      </c>
      <c r="C192" s="22">
        <v>188662.5</v>
      </c>
      <c r="D192" s="22">
        <v>18784000.5</v>
      </c>
      <c r="E192" s="7">
        <f>SUMIFS(Лист2!C:C,Лист2!B:B,'общая таблица'!B192,Лист2!A:A,'общая таблица'!A192)</f>
        <v>54</v>
      </c>
      <c r="F192" s="7">
        <f>SUMIFS(Лист2!D:D,Лист2!B:B,'общая таблица'!B192,Лист2!A:A,'общая таблица'!A192)</f>
        <v>11522</v>
      </c>
      <c r="G192" s="7">
        <f>SUMIFS(Лист2!E:E,Лист2!B:B,'общая таблица'!B192,Лист2!A:A,'общая таблица'!A192)</f>
        <v>10803</v>
      </c>
      <c r="H192" s="18">
        <f t="shared" si="4"/>
        <v>3543836494331.25</v>
      </c>
      <c r="I192" t="str">
        <f t="shared" si="5"/>
        <v>среда</v>
      </c>
    </row>
    <row r="193" spans="1:9" ht="14.25" customHeight="1" x14ac:dyDescent="0.3">
      <c r="A193" s="15">
        <v>43965</v>
      </c>
      <c r="B193" s="17" t="s">
        <v>22</v>
      </c>
      <c r="C193" s="23">
        <v>186496.5</v>
      </c>
      <c r="D193" s="23">
        <v>18640998</v>
      </c>
      <c r="E193" s="7">
        <f>SUMIFS(Лист2!C:C,Лист2!B:B,'общая таблица'!B193,Лист2!A:A,'общая таблица'!A193)</f>
        <v>54</v>
      </c>
      <c r="F193" s="7">
        <f>SUMIFS(Лист2!D:D,Лист2!B:B,'общая таблица'!B193,Лист2!A:A,'общая таблица'!A193)</f>
        <v>11194</v>
      </c>
      <c r="G193" s="7">
        <f>SUMIFS(Лист2!E:E,Лист2!B:B,'общая таблица'!B193,Лист2!A:A,'общая таблица'!A193)</f>
        <v>10554</v>
      </c>
      <c r="H193" s="18">
        <f t="shared" si="4"/>
        <v>3476480883507</v>
      </c>
      <c r="I193" t="str">
        <f t="shared" si="5"/>
        <v>четверг</v>
      </c>
    </row>
    <row r="194" spans="1:9" ht="14.25" customHeight="1" x14ac:dyDescent="0.3">
      <c r="A194" s="14">
        <v>43966</v>
      </c>
      <c r="B194" s="16" t="s">
        <v>22</v>
      </c>
      <c r="C194" s="20">
        <v>219772.5</v>
      </c>
      <c r="D194" s="20">
        <v>21895294.5</v>
      </c>
      <c r="E194" s="7">
        <f>SUMIFS(Лист2!C:C,Лист2!B:B,'общая таблица'!B194,Лист2!A:A,'общая таблица'!A194)</f>
        <v>54</v>
      </c>
      <c r="F194" s="7">
        <f>SUMIFS(Лист2!D:D,Лист2!B:B,'общая таблица'!B194,Лист2!A:A,'общая таблица'!A194)</f>
        <v>12791</v>
      </c>
      <c r="G194" s="7">
        <f>SUMIFS(Лист2!E:E,Лист2!B:B,'общая таблица'!B194,Лист2!A:A,'общая таблица'!A194)</f>
        <v>11950</v>
      </c>
      <c r="H194" s="18">
        <f t="shared" si="4"/>
        <v>4811983610501.25</v>
      </c>
      <c r="I194" t="str">
        <f t="shared" si="5"/>
        <v>пятница</v>
      </c>
    </row>
    <row r="195" spans="1:9" ht="14.25" customHeight="1" x14ac:dyDescent="0.3">
      <c r="A195" s="15">
        <v>43967</v>
      </c>
      <c r="B195" s="17" t="s">
        <v>22</v>
      </c>
      <c r="C195" s="23">
        <v>225480</v>
      </c>
      <c r="D195" s="23">
        <v>22355338.5</v>
      </c>
      <c r="E195" s="7">
        <f>SUMIFS(Лист2!C:C,Лист2!B:B,'общая таблица'!B195,Лист2!A:A,'общая таблица'!A195)</f>
        <v>54</v>
      </c>
      <c r="F195" s="7">
        <f>SUMIFS(Лист2!D:D,Лист2!B:B,'общая таблица'!B195,Лист2!A:A,'общая таблица'!A195)</f>
        <v>13170</v>
      </c>
      <c r="G195" s="7">
        <f>SUMIFS(Лист2!E:E,Лист2!B:B,'общая таблица'!B195,Лист2!A:A,'общая таблица'!A195)</f>
        <v>12299</v>
      </c>
      <c r="H195" s="18">
        <f t="shared" ref="H195:H258" si="6">C195*D195</f>
        <v>5040681724980</v>
      </c>
      <c r="I195" t="str">
        <f t="shared" ref="I195:I258" si="7">TEXT(A195,"дддд")</f>
        <v>суббота</v>
      </c>
    </row>
    <row r="196" spans="1:9" ht="14.25" customHeight="1" x14ac:dyDescent="0.3">
      <c r="A196" s="5">
        <v>43968</v>
      </c>
      <c r="B196" s="6" t="s">
        <v>22</v>
      </c>
      <c r="C196" s="22">
        <v>184801.5</v>
      </c>
      <c r="D196" s="22">
        <v>18449091</v>
      </c>
      <c r="E196" s="7">
        <f>SUMIFS(Лист2!C:C,Лист2!B:B,'общая таблица'!B196,Лист2!A:A,'общая таблица'!A196)</f>
        <v>54</v>
      </c>
      <c r="F196" s="7">
        <f>SUMIFS(Лист2!D:D,Лист2!B:B,'общая таблица'!B196,Лист2!A:A,'общая таблица'!A196)</f>
        <v>11128</v>
      </c>
      <c r="G196" s="7">
        <f>SUMIFS(Лист2!E:E,Лист2!B:B,'общая таблица'!B196,Лист2!A:A,'общая таблица'!A196)</f>
        <v>10467</v>
      </c>
      <c r="H196" s="18">
        <f t="shared" si="6"/>
        <v>3409419690436.5</v>
      </c>
      <c r="I196" t="str">
        <f t="shared" si="7"/>
        <v>воскресенье</v>
      </c>
    </row>
    <row r="197" spans="1:9" ht="14.25" customHeight="1" x14ac:dyDescent="0.3">
      <c r="A197" s="8">
        <v>43969</v>
      </c>
      <c r="B197" s="9" t="s">
        <v>22</v>
      </c>
      <c r="C197" s="21">
        <v>196560</v>
      </c>
      <c r="D197" s="21">
        <v>19855122</v>
      </c>
      <c r="E197" s="7">
        <f>SUMIFS(Лист2!C:C,Лист2!B:B,'общая таблица'!B197,Лист2!A:A,'общая таблица'!A197)</f>
        <v>54</v>
      </c>
      <c r="F197" s="7">
        <f>SUMIFS(Лист2!D:D,Лист2!B:B,'общая таблица'!B197,Лист2!A:A,'общая таблица'!A197)</f>
        <v>12012</v>
      </c>
      <c r="G197" s="7">
        <f>SUMIFS(Лист2!E:E,Лист2!B:B,'общая таблица'!B197,Лист2!A:A,'общая таблица'!A197)</f>
        <v>11308</v>
      </c>
      <c r="H197" s="18">
        <f t="shared" si="6"/>
        <v>3902722780320</v>
      </c>
      <c r="I197" t="str">
        <f t="shared" si="7"/>
        <v>понедельник</v>
      </c>
    </row>
    <row r="198" spans="1:9" ht="14.25" customHeight="1" x14ac:dyDescent="0.3">
      <c r="A198" s="14">
        <v>43970</v>
      </c>
      <c r="B198" s="16" t="s">
        <v>22</v>
      </c>
      <c r="C198" s="20">
        <v>211453.5</v>
      </c>
      <c r="D198" s="20">
        <v>20590072.5</v>
      </c>
      <c r="E198" s="7">
        <f>SUMIFS(Лист2!C:C,Лист2!B:B,'общая таблица'!B198,Лист2!A:A,'общая таблица'!A198)</f>
        <v>54</v>
      </c>
      <c r="F198" s="7">
        <f>SUMIFS(Лист2!D:D,Лист2!B:B,'общая таблица'!B198,Лист2!A:A,'общая таблица'!A198)</f>
        <v>13070</v>
      </c>
      <c r="G198" s="7">
        <f>SUMIFS(Лист2!E:E,Лист2!B:B,'общая таблица'!B198,Лист2!A:A,'общая таблица'!A198)</f>
        <v>12244</v>
      </c>
      <c r="H198" s="18">
        <f t="shared" si="6"/>
        <v>4353842895378.75</v>
      </c>
      <c r="I198" t="str">
        <f t="shared" si="7"/>
        <v>вторник</v>
      </c>
    </row>
    <row r="199" spans="1:9" ht="14.25" customHeight="1" x14ac:dyDescent="0.3">
      <c r="A199" s="15">
        <v>43971</v>
      </c>
      <c r="B199" s="17" t="s">
        <v>22</v>
      </c>
      <c r="C199" s="23">
        <v>214885.5</v>
      </c>
      <c r="D199" s="23">
        <v>21411349.5</v>
      </c>
      <c r="E199" s="7">
        <f>SUMIFS(Лист2!C:C,Лист2!B:B,'общая таблица'!B199,Лист2!A:A,'общая таблица'!A199)</f>
        <v>54</v>
      </c>
      <c r="F199" s="7">
        <f>SUMIFS(Лист2!D:D,Лист2!B:B,'общая таблица'!B199,Лист2!A:A,'общая таблица'!A199)</f>
        <v>13298</v>
      </c>
      <c r="G199" s="7">
        <f>SUMIFS(Лист2!E:E,Лист2!B:B,'общая таблица'!B199,Лист2!A:A,'общая таблица'!A199)</f>
        <v>12428</v>
      </c>
      <c r="H199" s="18">
        <f t="shared" si="6"/>
        <v>4600988542982.25</v>
      </c>
      <c r="I199" t="str">
        <f t="shared" si="7"/>
        <v>среда</v>
      </c>
    </row>
    <row r="200" spans="1:9" ht="14.25" customHeight="1" x14ac:dyDescent="0.3">
      <c r="A200" s="14">
        <v>43972</v>
      </c>
      <c r="B200" s="16" t="s">
        <v>22</v>
      </c>
      <c r="C200" s="20">
        <v>213640.5</v>
      </c>
      <c r="D200" s="20">
        <v>21042673.5</v>
      </c>
      <c r="E200" s="7">
        <f>SUMIFS(Лист2!C:C,Лист2!B:B,'общая таблица'!B200,Лист2!A:A,'общая таблица'!A200)</f>
        <v>54</v>
      </c>
      <c r="F200" s="7">
        <f>SUMIFS(Лист2!D:D,Лист2!B:B,'общая таблица'!B200,Лист2!A:A,'общая таблица'!A200)</f>
        <v>13240</v>
      </c>
      <c r="G200" s="7">
        <f>SUMIFS(Лист2!E:E,Лист2!B:B,'общая таблица'!B200,Лист2!A:A,'общая таблица'!A200)</f>
        <v>12360</v>
      </c>
      <c r="H200" s="18">
        <f t="shared" si="6"/>
        <v>4495567287876.75</v>
      </c>
      <c r="I200" t="str">
        <f t="shared" si="7"/>
        <v>четверг</v>
      </c>
    </row>
    <row r="201" spans="1:9" ht="14.25" customHeight="1" x14ac:dyDescent="0.3">
      <c r="A201" s="8">
        <v>43973</v>
      </c>
      <c r="B201" s="9" t="s">
        <v>22</v>
      </c>
      <c r="C201" s="21">
        <v>214428</v>
      </c>
      <c r="D201" s="21">
        <v>20812585.5</v>
      </c>
      <c r="E201" s="7">
        <f>SUMIFS(Лист2!C:C,Лист2!B:B,'общая таблица'!B201,Лист2!A:A,'общая таблица'!A201)</f>
        <v>54</v>
      </c>
      <c r="F201" s="7">
        <f>SUMIFS(Лист2!D:D,Лист2!B:B,'общая таблица'!B201,Лист2!A:A,'общая таблица'!A201)</f>
        <v>13014</v>
      </c>
      <c r="G201" s="7">
        <f>SUMIFS(Лист2!E:E,Лист2!B:B,'общая таблица'!B201,Лист2!A:A,'общая таблица'!A201)</f>
        <v>12095</v>
      </c>
      <c r="H201" s="18">
        <f t="shared" si="6"/>
        <v>4462801083594</v>
      </c>
      <c r="I201" t="str">
        <f t="shared" si="7"/>
        <v>пятница</v>
      </c>
    </row>
    <row r="202" spans="1:9" ht="14.25" customHeight="1" x14ac:dyDescent="0.3">
      <c r="A202" s="14">
        <v>43974</v>
      </c>
      <c r="B202" s="16" t="s">
        <v>22</v>
      </c>
      <c r="C202" s="20">
        <v>275793</v>
      </c>
      <c r="D202" s="20">
        <v>26806626</v>
      </c>
      <c r="E202" s="7">
        <f>SUMIFS(Лист2!C:C,Лист2!B:B,'общая таблица'!B202,Лист2!A:A,'общая таблица'!A202)</f>
        <v>54</v>
      </c>
      <c r="F202" s="7">
        <f>SUMIFS(Лист2!D:D,Лист2!B:B,'общая таблица'!B202,Лист2!A:A,'общая таблица'!A202)</f>
        <v>16221</v>
      </c>
      <c r="G202" s="7">
        <f>SUMIFS(Лист2!E:E,Лист2!B:B,'общая таблица'!B202,Лист2!A:A,'общая таблица'!A202)</f>
        <v>15065</v>
      </c>
      <c r="H202" s="18">
        <f t="shared" si="6"/>
        <v>7393079804418</v>
      </c>
      <c r="I202" t="str">
        <f t="shared" si="7"/>
        <v>суббота</v>
      </c>
    </row>
    <row r="203" spans="1:9" ht="14.25" customHeight="1" x14ac:dyDescent="0.3">
      <c r="A203" s="15">
        <v>43975</v>
      </c>
      <c r="B203" s="17" t="s">
        <v>22</v>
      </c>
      <c r="C203" s="23">
        <v>193719</v>
      </c>
      <c r="D203" s="23">
        <v>19071117</v>
      </c>
      <c r="E203" s="7">
        <f>SUMIFS(Лист2!C:C,Лист2!B:B,'общая таблица'!B203,Лист2!A:A,'общая таблица'!A203)</f>
        <v>54</v>
      </c>
      <c r="F203" s="7">
        <f>SUMIFS(Лист2!D:D,Лист2!B:B,'общая таблица'!B203,Лист2!A:A,'общая таблица'!A203)</f>
        <v>12211</v>
      </c>
      <c r="G203" s="7">
        <f>SUMIFS(Лист2!E:E,Лист2!B:B,'общая таблица'!B203,Лист2!A:A,'общая таблица'!A203)</f>
        <v>11427</v>
      </c>
      <c r="H203" s="18">
        <f t="shared" si="6"/>
        <v>3694437714123</v>
      </c>
      <c r="I203" t="str">
        <f t="shared" si="7"/>
        <v>воскресенье</v>
      </c>
    </row>
    <row r="204" spans="1:9" ht="14.25" customHeight="1" x14ac:dyDescent="0.3">
      <c r="A204" s="14">
        <v>43976</v>
      </c>
      <c r="B204" s="16" t="s">
        <v>22</v>
      </c>
      <c r="C204" s="20">
        <v>192948</v>
      </c>
      <c r="D204" s="20">
        <v>19806927</v>
      </c>
      <c r="E204" s="7">
        <f>SUMIFS(Лист2!C:C,Лист2!B:B,'общая таблица'!B204,Лист2!A:A,'общая таблица'!A204)</f>
        <v>54</v>
      </c>
      <c r="F204" s="7">
        <f>SUMIFS(Лист2!D:D,Лист2!B:B,'общая таблица'!B204,Лист2!A:A,'общая таблица'!A204)</f>
        <v>12336</v>
      </c>
      <c r="G204" s="7">
        <f>SUMIFS(Лист2!E:E,Лист2!B:B,'общая таблица'!B204,Лист2!A:A,'общая таблица'!A204)</f>
        <v>11519</v>
      </c>
      <c r="H204" s="18">
        <f t="shared" si="6"/>
        <v>3821706950796</v>
      </c>
      <c r="I204" t="str">
        <f t="shared" si="7"/>
        <v>понедельник</v>
      </c>
    </row>
    <row r="205" spans="1:9" ht="14.25" customHeight="1" x14ac:dyDescent="0.3">
      <c r="A205" s="15">
        <v>43977</v>
      </c>
      <c r="B205" s="17" t="s">
        <v>22</v>
      </c>
      <c r="C205" s="23">
        <v>232369.5</v>
      </c>
      <c r="D205" s="23">
        <v>23856345</v>
      </c>
      <c r="E205" s="7">
        <f>SUMIFS(Лист2!C:C,Лист2!B:B,'общая таблица'!B205,Лист2!A:A,'общая таблица'!A205)</f>
        <v>54</v>
      </c>
      <c r="F205" s="7">
        <f>SUMIFS(Лист2!D:D,Лист2!B:B,'общая таблица'!B205,Лист2!A:A,'общая таблица'!A205)</f>
        <v>14482</v>
      </c>
      <c r="G205" s="7">
        <f>SUMIFS(Лист2!E:E,Лист2!B:B,'общая таблица'!B205,Лист2!A:A,'общая таблица'!A205)</f>
        <v>13510</v>
      </c>
      <c r="H205" s="18">
        <f t="shared" si="6"/>
        <v>5543486959477.5</v>
      </c>
      <c r="I205" t="str">
        <f t="shared" si="7"/>
        <v>вторник</v>
      </c>
    </row>
    <row r="206" spans="1:9" ht="14.25" customHeight="1" x14ac:dyDescent="0.3">
      <c r="A206" s="5">
        <v>43978</v>
      </c>
      <c r="B206" s="6" t="s">
        <v>22</v>
      </c>
      <c r="C206" s="22">
        <v>203532</v>
      </c>
      <c r="D206" s="22">
        <v>20953324.5</v>
      </c>
      <c r="E206" s="7">
        <f>SUMIFS(Лист2!C:C,Лист2!B:B,'общая таблица'!B206,Лист2!A:A,'общая таблица'!A206)</f>
        <v>54</v>
      </c>
      <c r="F206" s="7">
        <f>SUMIFS(Лист2!D:D,Лист2!B:B,'общая таблица'!B206,Лист2!A:A,'общая таблица'!A206)</f>
        <v>13091</v>
      </c>
      <c r="G206" s="7">
        <f>SUMIFS(Лист2!E:E,Лист2!B:B,'общая таблица'!B206,Лист2!A:A,'общая таблица'!A206)</f>
        <v>12216</v>
      </c>
      <c r="H206" s="18">
        <f t="shared" si="6"/>
        <v>4264672042134</v>
      </c>
      <c r="I206" t="str">
        <f t="shared" si="7"/>
        <v>среда</v>
      </c>
    </row>
    <row r="207" spans="1:9" ht="14.25" customHeight="1" x14ac:dyDescent="0.3">
      <c r="A207" s="8">
        <v>43979</v>
      </c>
      <c r="B207" s="9" t="s">
        <v>22</v>
      </c>
      <c r="C207" s="21">
        <v>191641.5</v>
      </c>
      <c r="D207" s="21">
        <v>19549036.5</v>
      </c>
      <c r="E207" s="7">
        <f>SUMIFS(Лист2!C:C,Лист2!B:B,'общая таблица'!B207,Лист2!A:A,'общая таблица'!A207)</f>
        <v>54</v>
      </c>
      <c r="F207" s="7">
        <f>SUMIFS(Лист2!D:D,Лист2!B:B,'общая таблица'!B207,Лист2!A:A,'общая таблица'!A207)</f>
        <v>12409</v>
      </c>
      <c r="G207" s="7">
        <f>SUMIFS(Лист2!E:E,Лист2!B:B,'общая таблица'!B207,Лист2!A:A,'общая таблица'!A207)</f>
        <v>11582</v>
      </c>
      <c r="H207" s="18">
        <f t="shared" si="6"/>
        <v>3746406678414.75</v>
      </c>
      <c r="I207" t="str">
        <f t="shared" si="7"/>
        <v>четверг</v>
      </c>
    </row>
    <row r="208" spans="1:9" ht="14.25" customHeight="1" x14ac:dyDescent="0.3">
      <c r="A208" s="5">
        <v>43980</v>
      </c>
      <c r="B208" s="6" t="s">
        <v>22</v>
      </c>
      <c r="C208" s="22">
        <v>226476</v>
      </c>
      <c r="D208" s="22">
        <v>22416151.5</v>
      </c>
      <c r="E208" s="7">
        <f>SUMIFS(Лист2!C:C,Лист2!B:B,'общая таблица'!B208,Лист2!A:A,'общая таблица'!A208)</f>
        <v>54</v>
      </c>
      <c r="F208" s="7">
        <f>SUMIFS(Лист2!D:D,Лист2!B:B,'общая таблица'!B208,Лист2!A:A,'общая таблица'!A208)</f>
        <v>14031</v>
      </c>
      <c r="G208" s="7">
        <f>SUMIFS(Лист2!E:E,Лист2!B:B,'общая таблица'!B208,Лист2!A:A,'общая таблица'!A208)</f>
        <v>12943</v>
      </c>
      <c r="H208" s="18">
        <f t="shared" si="6"/>
        <v>5076720327114</v>
      </c>
      <c r="I208" t="str">
        <f t="shared" si="7"/>
        <v>пятница</v>
      </c>
    </row>
    <row r="209" spans="1:9" ht="14.25" customHeight="1" x14ac:dyDescent="0.3">
      <c r="A209" s="15">
        <v>43981</v>
      </c>
      <c r="B209" s="17" t="s">
        <v>22</v>
      </c>
      <c r="C209" s="23">
        <v>244734</v>
      </c>
      <c r="D209" s="23">
        <v>24151980</v>
      </c>
      <c r="E209" s="7">
        <f>SUMIFS(Лист2!C:C,Лист2!B:B,'общая таблица'!B209,Лист2!A:A,'общая таблица'!A209)</f>
        <v>54</v>
      </c>
      <c r="F209" s="7">
        <f>SUMIFS(Лист2!D:D,Лист2!B:B,'общая таблица'!B209,Лист2!A:A,'общая таблица'!A209)</f>
        <v>14590</v>
      </c>
      <c r="G209" s="7">
        <f>SUMIFS(Лист2!E:E,Лист2!B:B,'общая таблица'!B209,Лист2!A:A,'общая таблица'!A209)</f>
        <v>13551</v>
      </c>
      <c r="H209" s="18">
        <f t="shared" si="6"/>
        <v>5910810673320</v>
      </c>
      <c r="I209" t="str">
        <f t="shared" si="7"/>
        <v>суббота</v>
      </c>
    </row>
    <row r="210" spans="1:9" ht="14.25" customHeight="1" x14ac:dyDescent="0.3">
      <c r="A210" s="14">
        <v>43982</v>
      </c>
      <c r="B210" s="16" t="s">
        <v>22</v>
      </c>
      <c r="C210" s="20">
        <v>206758.5</v>
      </c>
      <c r="D210" s="20">
        <v>20717248.5</v>
      </c>
      <c r="E210" s="7">
        <f>SUMIFS(Лист2!C:C,Лист2!B:B,'общая таблица'!B210,Лист2!A:A,'общая таблица'!A210)</f>
        <v>54</v>
      </c>
      <c r="F210" s="7">
        <f>SUMIFS(Лист2!D:D,Лист2!B:B,'общая таблица'!B210,Лист2!A:A,'общая таблица'!A210)</f>
        <v>13106</v>
      </c>
      <c r="G210" s="7">
        <f>SUMIFS(Лист2!E:E,Лист2!B:B,'общая таблица'!B210,Лист2!A:A,'общая таблица'!A210)</f>
        <v>12164</v>
      </c>
      <c r="H210" s="18">
        <f t="shared" si="6"/>
        <v>4283467223987.25</v>
      </c>
      <c r="I210" t="str">
        <f t="shared" si="7"/>
        <v>воскресенье</v>
      </c>
    </row>
    <row r="211" spans="1:9" ht="14.25" customHeight="1" x14ac:dyDescent="0.3">
      <c r="A211" s="15">
        <v>43983</v>
      </c>
      <c r="B211" s="17" t="s">
        <v>22</v>
      </c>
      <c r="C211" s="23">
        <v>183228</v>
      </c>
      <c r="D211" s="23">
        <v>18914194.5</v>
      </c>
      <c r="E211" s="7">
        <f>SUMIFS(Лист2!C:C,Лист2!B:B,'общая таблица'!B211,Лист2!A:A,'общая таблица'!A211)</f>
        <v>54</v>
      </c>
      <c r="F211" s="7">
        <f>SUMIFS(Лист2!D:D,Лист2!B:B,'общая таблица'!B211,Лист2!A:A,'общая таблица'!A211)</f>
        <v>11864</v>
      </c>
      <c r="G211" s="7">
        <f>SUMIFS(Лист2!E:E,Лист2!B:B,'общая таблица'!B211,Лист2!A:A,'общая таблица'!A211)</f>
        <v>11071</v>
      </c>
      <c r="H211" s="18">
        <f t="shared" si="6"/>
        <v>3465610029846</v>
      </c>
      <c r="I211" t="str">
        <f t="shared" si="7"/>
        <v>понедельник</v>
      </c>
    </row>
    <row r="212" spans="1:9" ht="14.25" customHeight="1" x14ac:dyDescent="0.3">
      <c r="A212" s="5">
        <v>43949</v>
      </c>
      <c r="B212" s="6" t="s">
        <v>21</v>
      </c>
      <c r="C212" s="22">
        <v>204637.5</v>
      </c>
      <c r="D212" s="22">
        <v>21114898.5</v>
      </c>
      <c r="E212" s="7">
        <f>SUMIFS(Лист2!C:C,Лист2!B:B,'общая таблица'!B212,Лист2!A:A,'общая таблица'!A212)</f>
        <v>59</v>
      </c>
      <c r="F212" s="7">
        <f>SUMIFS(Лист2!D:D,Лист2!B:B,'общая таблица'!B212,Лист2!A:A,'общая таблица'!A212)</f>
        <v>12943</v>
      </c>
      <c r="G212" s="7">
        <f>SUMIFS(Лист2!E:E,Лист2!B:B,'общая таблица'!B212,Лист2!A:A,'общая таблица'!A212)</f>
        <v>12072</v>
      </c>
      <c r="H212" s="18">
        <f t="shared" si="6"/>
        <v>4320900041793.75</v>
      </c>
      <c r="I212" t="str">
        <f t="shared" si="7"/>
        <v>вторник</v>
      </c>
    </row>
    <row r="213" spans="1:9" ht="14.25" customHeight="1" x14ac:dyDescent="0.3">
      <c r="A213" s="8">
        <v>43950</v>
      </c>
      <c r="B213" s="9" t="s">
        <v>21</v>
      </c>
      <c r="C213" s="21">
        <v>208351.5</v>
      </c>
      <c r="D213" s="21">
        <v>21615333</v>
      </c>
      <c r="E213" s="7">
        <f>SUMIFS(Лист2!C:C,Лист2!B:B,'общая таблица'!B213,Лист2!A:A,'общая таблица'!A213)</f>
        <v>59</v>
      </c>
      <c r="F213" s="7">
        <f>SUMIFS(Лист2!D:D,Лист2!B:B,'общая таблица'!B213,Лист2!A:A,'общая таблица'!A213)</f>
        <v>13186</v>
      </c>
      <c r="G213" s="7">
        <f>SUMIFS(Лист2!E:E,Лист2!B:B,'общая таблица'!B213,Лист2!A:A,'общая таблица'!A213)</f>
        <v>12251</v>
      </c>
      <c r="H213" s="18">
        <f t="shared" si="6"/>
        <v>4503587053549.5</v>
      </c>
      <c r="I213" t="str">
        <f t="shared" si="7"/>
        <v>среда</v>
      </c>
    </row>
    <row r="214" spans="1:9" ht="14.25" customHeight="1" x14ac:dyDescent="0.3">
      <c r="A214" s="14">
        <v>43951</v>
      </c>
      <c r="B214" s="16" t="s">
        <v>21</v>
      </c>
      <c r="C214" s="20">
        <v>214386</v>
      </c>
      <c r="D214" s="20">
        <v>22530000</v>
      </c>
      <c r="E214" s="7">
        <f>SUMIFS(Лист2!C:C,Лист2!B:B,'общая таблица'!B214,Лист2!A:A,'общая таблица'!A214)</f>
        <v>59</v>
      </c>
      <c r="F214" s="7">
        <f>SUMIFS(Лист2!D:D,Лист2!B:B,'общая таблица'!B214,Лист2!A:A,'общая таблица'!A214)</f>
        <v>13251</v>
      </c>
      <c r="G214" s="7">
        <f>SUMIFS(Лист2!E:E,Лист2!B:B,'общая таблица'!B214,Лист2!A:A,'общая таблица'!A214)</f>
        <v>12255</v>
      </c>
      <c r="H214" s="18">
        <f t="shared" si="6"/>
        <v>4830116580000</v>
      </c>
      <c r="I214" t="str">
        <f t="shared" si="7"/>
        <v>четверг</v>
      </c>
    </row>
    <row r="215" spans="1:9" ht="14.25" customHeight="1" x14ac:dyDescent="0.3">
      <c r="A215" s="15">
        <v>43952</v>
      </c>
      <c r="B215" s="17" t="s">
        <v>21</v>
      </c>
      <c r="C215" s="23">
        <v>239409</v>
      </c>
      <c r="D215" s="23">
        <v>25413351</v>
      </c>
      <c r="E215" s="7">
        <f>SUMIFS(Лист2!C:C,Лист2!B:B,'общая таблица'!B215,Лист2!A:A,'общая таблица'!A215)</f>
        <v>59</v>
      </c>
      <c r="F215" s="7">
        <f>SUMIFS(Лист2!D:D,Лист2!B:B,'общая таблица'!B215,Лист2!A:A,'общая таблица'!A215)</f>
        <v>15222</v>
      </c>
      <c r="G215" s="7">
        <f>SUMIFS(Лист2!E:E,Лист2!B:B,'общая таблица'!B215,Лист2!A:A,'общая таблица'!A215)</f>
        <v>13873</v>
      </c>
      <c r="H215" s="18">
        <f t="shared" si="6"/>
        <v>6084184949559</v>
      </c>
      <c r="I215" t="str">
        <f t="shared" si="7"/>
        <v>пятница</v>
      </c>
    </row>
    <row r="216" spans="1:9" ht="14.25" customHeight="1" x14ac:dyDescent="0.3">
      <c r="A216" s="5">
        <v>43953</v>
      </c>
      <c r="B216" s="6" t="s">
        <v>21</v>
      </c>
      <c r="C216" s="22">
        <v>185979</v>
      </c>
      <c r="D216" s="22">
        <v>19625364</v>
      </c>
      <c r="E216" s="7">
        <f>SUMIFS(Лист2!C:C,Лист2!B:B,'общая таблица'!B216,Лист2!A:A,'общая таблица'!A216)</f>
        <v>59</v>
      </c>
      <c r="F216" s="7">
        <f>SUMIFS(Лист2!D:D,Лист2!B:B,'общая таблица'!B216,Лист2!A:A,'общая таблица'!A216)</f>
        <v>12429</v>
      </c>
      <c r="G216" s="7">
        <f>SUMIFS(Лист2!E:E,Лист2!B:B,'общая таблица'!B216,Лист2!A:A,'общая таблица'!A216)</f>
        <v>11477</v>
      </c>
      <c r="H216" s="18">
        <f t="shared" si="6"/>
        <v>3649905571356</v>
      </c>
      <c r="I216" t="str">
        <f t="shared" si="7"/>
        <v>суббота</v>
      </c>
    </row>
    <row r="217" spans="1:9" ht="14.25" customHeight="1" x14ac:dyDescent="0.3">
      <c r="A217" s="8">
        <v>43954</v>
      </c>
      <c r="B217" s="9" t="s">
        <v>21</v>
      </c>
      <c r="C217" s="21">
        <v>257215.5</v>
      </c>
      <c r="D217" s="21">
        <v>26492278.5</v>
      </c>
      <c r="E217" s="7">
        <f>SUMIFS(Лист2!C:C,Лист2!B:B,'общая таблица'!B217,Лист2!A:A,'общая таблица'!A217)</f>
        <v>59</v>
      </c>
      <c r="F217" s="7">
        <f>SUMIFS(Лист2!D:D,Лист2!B:B,'общая таблица'!B217,Лист2!A:A,'общая таблица'!A217)</f>
        <v>15277</v>
      </c>
      <c r="G217" s="7">
        <f>SUMIFS(Лист2!E:E,Лист2!B:B,'общая таблица'!B217,Лист2!A:A,'общая таблица'!A217)</f>
        <v>14163</v>
      </c>
      <c r="H217" s="18">
        <f t="shared" si="6"/>
        <v>6814224660516.75</v>
      </c>
      <c r="I217" t="str">
        <f t="shared" si="7"/>
        <v>воскресенье</v>
      </c>
    </row>
    <row r="218" spans="1:9" ht="14.25" customHeight="1" x14ac:dyDescent="0.3">
      <c r="A218" s="5">
        <v>43955</v>
      </c>
      <c r="B218" s="6" t="s">
        <v>21</v>
      </c>
      <c r="C218" s="22">
        <v>237544.5</v>
      </c>
      <c r="D218" s="22">
        <v>24292218</v>
      </c>
      <c r="E218" s="7">
        <f>SUMIFS(Лист2!C:C,Лист2!B:B,'общая таблица'!B218,Лист2!A:A,'общая таблица'!A218)</f>
        <v>59</v>
      </c>
      <c r="F218" s="7">
        <f>SUMIFS(Лист2!D:D,Лист2!B:B,'общая таблица'!B218,Лист2!A:A,'общая таблица'!A218)</f>
        <v>14423</v>
      </c>
      <c r="G218" s="7">
        <f>SUMIFS(Лист2!E:E,Лист2!B:B,'общая таблица'!B218,Лист2!A:A,'общая таблица'!A218)</f>
        <v>13432</v>
      </c>
      <c r="H218" s="18">
        <f t="shared" si="6"/>
        <v>5770482778701</v>
      </c>
      <c r="I218" t="str">
        <f t="shared" si="7"/>
        <v>понедельник</v>
      </c>
    </row>
    <row r="219" spans="1:9" ht="14.25" customHeight="1" x14ac:dyDescent="0.3">
      <c r="A219" s="15">
        <v>43956</v>
      </c>
      <c r="B219" s="17" t="s">
        <v>21</v>
      </c>
      <c r="C219" s="23">
        <v>213582</v>
      </c>
      <c r="D219" s="23">
        <v>21919435.5</v>
      </c>
      <c r="E219" s="7">
        <f>SUMIFS(Лист2!C:C,Лист2!B:B,'общая таблица'!B219,Лист2!A:A,'общая таблица'!A219)</f>
        <v>59</v>
      </c>
      <c r="F219" s="7">
        <f>SUMIFS(Лист2!D:D,Лист2!B:B,'общая таблица'!B219,Лист2!A:A,'общая таблица'!A219)</f>
        <v>13469</v>
      </c>
      <c r="G219" s="7">
        <f>SUMIFS(Лист2!E:E,Лист2!B:B,'общая таблица'!B219,Лист2!A:A,'общая таблица'!A219)</f>
        <v>12486</v>
      </c>
      <c r="H219" s="18">
        <f t="shared" si="6"/>
        <v>4681596872961</v>
      </c>
      <c r="I219" t="str">
        <f t="shared" si="7"/>
        <v>вторник</v>
      </c>
    </row>
    <row r="220" spans="1:9" ht="14.25" customHeight="1" x14ac:dyDescent="0.3">
      <c r="A220" s="5">
        <v>43957</v>
      </c>
      <c r="B220" s="6" t="s">
        <v>21</v>
      </c>
      <c r="C220" s="22">
        <v>224779.5</v>
      </c>
      <c r="D220" s="22">
        <v>23032992</v>
      </c>
      <c r="E220" s="7">
        <f>SUMIFS(Лист2!C:C,Лист2!B:B,'общая таблица'!B220,Лист2!A:A,'общая таблица'!A220)</f>
        <v>59</v>
      </c>
      <c r="F220" s="7">
        <f>SUMIFS(Лист2!D:D,Лист2!B:B,'общая таблица'!B220,Лист2!A:A,'общая таблица'!A220)</f>
        <v>14103</v>
      </c>
      <c r="G220" s="7">
        <f>SUMIFS(Лист2!E:E,Лист2!B:B,'общая таблица'!B220,Лист2!A:A,'общая таблица'!A220)</f>
        <v>13118</v>
      </c>
      <c r="H220" s="18">
        <f t="shared" si="6"/>
        <v>5177344425264</v>
      </c>
      <c r="I220" t="str">
        <f t="shared" si="7"/>
        <v>среда</v>
      </c>
    </row>
    <row r="221" spans="1:9" ht="14.25" customHeight="1" x14ac:dyDescent="0.3">
      <c r="A221" s="15">
        <v>43958</v>
      </c>
      <c r="B221" s="17" t="s">
        <v>21</v>
      </c>
      <c r="C221" s="23">
        <v>219411</v>
      </c>
      <c r="D221" s="23">
        <v>22460130</v>
      </c>
      <c r="E221" s="7">
        <f>SUMIFS(Лист2!C:C,Лист2!B:B,'общая таблица'!B221,Лист2!A:A,'общая таблица'!A221)</f>
        <v>59</v>
      </c>
      <c r="F221" s="7">
        <f>SUMIFS(Лист2!D:D,Лист2!B:B,'общая таблица'!B221,Лист2!A:A,'общая таблица'!A221)</f>
        <v>13495</v>
      </c>
      <c r="G221" s="7">
        <f>SUMIFS(Лист2!E:E,Лист2!B:B,'общая таблица'!B221,Лист2!A:A,'общая таблица'!A221)</f>
        <v>12517</v>
      </c>
      <c r="H221" s="18">
        <f t="shared" si="6"/>
        <v>4927999583430</v>
      </c>
      <c r="I221" t="str">
        <f t="shared" si="7"/>
        <v>четверг</v>
      </c>
    </row>
    <row r="222" spans="1:9" ht="14.25" customHeight="1" x14ac:dyDescent="0.3">
      <c r="A222" s="14">
        <v>43959</v>
      </c>
      <c r="B222" s="16" t="s">
        <v>21</v>
      </c>
      <c r="C222" s="20">
        <v>232701</v>
      </c>
      <c r="D222" s="20">
        <v>23881948.5</v>
      </c>
      <c r="E222" s="7">
        <f>SUMIFS(Лист2!C:C,Лист2!B:B,'общая таблица'!B222,Лист2!A:A,'общая таблица'!A222)</f>
        <v>59</v>
      </c>
      <c r="F222" s="7">
        <f>SUMIFS(Лист2!D:D,Лист2!B:B,'общая таблица'!B222,Лист2!A:A,'общая таблица'!A222)</f>
        <v>14098</v>
      </c>
      <c r="G222" s="7">
        <f>SUMIFS(Лист2!E:E,Лист2!B:B,'общая таблица'!B222,Лист2!A:A,'общая таблица'!A222)</f>
        <v>13106</v>
      </c>
      <c r="H222" s="18">
        <f t="shared" si="6"/>
        <v>5557353297898.5</v>
      </c>
      <c r="I222" t="str">
        <f t="shared" si="7"/>
        <v>пятница</v>
      </c>
    </row>
    <row r="223" spans="1:9" ht="14.25" customHeight="1" x14ac:dyDescent="0.3">
      <c r="A223" s="8">
        <v>43960</v>
      </c>
      <c r="B223" s="9" t="s">
        <v>21</v>
      </c>
      <c r="C223" s="21">
        <v>188319</v>
      </c>
      <c r="D223" s="21">
        <v>19218631.5</v>
      </c>
      <c r="E223" s="7">
        <f>SUMIFS(Лист2!C:C,Лист2!B:B,'общая таблица'!B223,Лист2!A:A,'общая таблица'!A223)</f>
        <v>59</v>
      </c>
      <c r="F223" s="7">
        <f>SUMIFS(Лист2!D:D,Лист2!B:B,'общая таблица'!B223,Лист2!A:A,'общая таблица'!A223)</f>
        <v>12016</v>
      </c>
      <c r="G223" s="7">
        <f>SUMIFS(Лист2!E:E,Лист2!B:B,'общая таблица'!B223,Лист2!A:A,'общая таблица'!A223)</f>
        <v>11137</v>
      </c>
      <c r="H223" s="18">
        <f t="shared" si="6"/>
        <v>3619233465448.5</v>
      </c>
      <c r="I223" t="str">
        <f t="shared" si="7"/>
        <v>суббота</v>
      </c>
    </row>
    <row r="224" spans="1:9" ht="14.25" customHeight="1" x14ac:dyDescent="0.3">
      <c r="A224" s="5">
        <v>43961</v>
      </c>
      <c r="B224" s="6" t="s">
        <v>21</v>
      </c>
      <c r="C224" s="22">
        <v>243825</v>
      </c>
      <c r="D224" s="22">
        <v>24890404.5</v>
      </c>
      <c r="E224" s="7">
        <f>SUMIFS(Лист2!C:C,Лист2!B:B,'общая таблица'!B224,Лист2!A:A,'общая таблица'!A224)</f>
        <v>59</v>
      </c>
      <c r="F224" s="7">
        <f>SUMIFS(Лист2!D:D,Лист2!B:B,'общая таблица'!B224,Лист2!A:A,'общая таблица'!A224)</f>
        <v>14569</v>
      </c>
      <c r="G224" s="7">
        <f>SUMIFS(Лист2!E:E,Лист2!B:B,'общая таблица'!B224,Лист2!A:A,'общая таблица'!A224)</f>
        <v>13566</v>
      </c>
      <c r="H224" s="18">
        <f t="shared" si="6"/>
        <v>6068902877212.5</v>
      </c>
      <c r="I224" t="str">
        <f t="shared" si="7"/>
        <v>воскресенье</v>
      </c>
    </row>
    <row r="225" spans="1:9" ht="14.25" customHeight="1" x14ac:dyDescent="0.3">
      <c r="A225" s="15">
        <v>43962</v>
      </c>
      <c r="B225" s="17" t="s">
        <v>21</v>
      </c>
      <c r="C225" s="23">
        <v>175293</v>
      </c>
      <c r="D225" s="23">
        <v>17919144</v>
      </c>
      <c r="E225" s="7">
        <f>SUMIFS(Лист2!C:C,Лист2!B:B,'общая таблица'!B225,Лист2!A:A,'общая таблица'!A225)</f>
        <v>60</v>
      </c>
      <c r="F225" s="7">
        <f>SUMIFS(Лист2!D:D,Лист2!B:B,'общая таблица'!B225,Лист2!A:A,'общая таблица'!A225)</f>
        <v>11100</v>
      </c>
      <c r="G225" s="7">
        <f>SUMIFS(Лист2!E:E,Лист2!B:B,'общая таблица'!B225,Лист2!A:A,'общая таблица'!A225)</f>
        <v>10407</v>
      </c>
      <c r="H225" s="18">
        <f t="shared" si="6"/>
        <v>3141100509192</v>
      </c>
      <c r="I225" t="str">
        <f t="shared" si="7"/>
        <v>понедельник</v>
      </c>
    </row>
    <row r="226" spans="1:9" ht="14.25" customHeight="1" x14ac:dyDescent="0.3">
      <c r="A226" s="14">
        <v>43963</v>
      </c>
      <c r="B226" s="16" t="s">
        <v>21</v>
      </c>
      <c r="C226" s="20">
        <v>192886.5</v>
      </c>
      <c r="D226" s="20">
        <v>19205179.5</v>
      </c>
      <c r="E226" s="7">
        <f>SUMIFS(Лист2!C:C,Лист2!B:B,'общая таблица'!B226,Лист2!A:A,'общая таблица'!A226)</f>
        <v>60</v>
      </c>
      <c r="F226" s="7">
        <f>SUMIFS(Лист2!D:D,Лист2!B:B,'общая таблица'!B226,Лист2!A:A,'общая таблица'!A226)</f>
        <v>12000</v>
      </c>
      <c r="G226" s="7">
        <f>SUMIFS(Лист2!E:E,Лист2!B:B,'общая таблица'!B226,Лист2!A:A,'общая таблица'!A226)</f>
        <v>11194</v>
      </c>
      <c r="H226" s="18">
        <f t="shared" si="6"/>
        <v>3704419855626.75</v>
      </c>
      <c r="I226" t="str">
        <f t="shared" si="7"/>
        <v>вторник</v>
      </c>
    </row>
    <row r="227" spans="1:9" ht="14.25" customHeight="1" x14ac:dyDescent="0.3">
      <c r="A227" s="15">
        <v>43964</v>
      </c>
      <c r="B227" s="17" t="s">
        <v>21</v>
      </c>
      <c r="C227" s="23">
        <v>193722</v>
      </c>
      <c r="D227" s="23">
        <v>19437273</v>
      </c>
      <c r="E227" s="7">
        <f>SUMIFS(Лист2!C:C,Лист2!B:B,'общая таблица'!B227,Лист2!A:A,'общая таблица'!A227)</f>
        <v>60</v>
      </c>
      <c r="F227" s="7">
        <f>SUMIFS(Лист2!D:D,Лист2!B:B,'общая таблица'!B227,Лист2!A:A,'общая таблица'!A227)</f>
        <v>12007</v>
      </c>
      <c r="G227" s="7">
        <f>SUMIFS(Лист2!E:E,Лист2!B:B,'общая таблица'!B227,Лист2!A:A,'общая таблица'!A227)</f>
        <v>11245</v>
      </c>
      <c r="H227" s="18">
        <f t="shared" si="6"/>
        <v>3765427400106</v>
      </c>
      <c r="I227" t="str">
        <f t="shared" si="7"/>
        <v>среда</v>
      </c>
    </row>
    <row r="228" spans="1:9" ht="14.25" customHeight="1" x14ac:dyDescent="0.3">
      <c r="A228" s="5">
        <v>43965</v>
      </c>
      <c r="B228" s="6" t="s">
        <v>21</v>
      </c>
      <c r="C228" s="22">
        <v>197946</v>
      </c>
      <c r="D228" s="22">
        <v>19942435.5</v>
      </c>
      <c r="E228" s="7">
        <f>SUMIFS(Лист2!C:C,Лист2!B:B,'общая таблица'!B228,Лист2!A:A,'общая таблица'!A228)</f>
        <v>60</v>
      </c>
      <c r="F228" s="7">
        <f>SUMIFS(Лист2!D:D,Лист2!B:B,'общая таблица'!B228,Лист2!A:A,'общая таблица'!A228)</f>
        <v>11935</v>
      </c>
      <c r="G228" s="7">
        <f>SUMIFS(Лист2!E:E,Лист2!B:B,'общая таблица'!B228,Лист2!A:A,'общая таблица'!A228)</f>
        <v>11178</v>
      </c>
      <c r="H228" s="18">
        <f t="shared" si="6"/>
        <v>3947525337483</v>
      </c>
      <c r="I228" t="str">
        <f t="shared" si="7"/>
        <v>четверг</v>
      </c>
    </row>
    <row r="229" spans="1:9" ht="14.25" customHeight="1" x14ac:dyDescent="0.3">
      <c r="A229" s="8">
        <v>43966</v>
      </c>
      <c r="B229" s="9" t="s">
        <v>21</v>
      </c>
      <c r="C229" s="21">
        <v>230896.5</v>
      </c>
      <c r="D229" s="21">
        <v>23085222</v>
      </c>
      <c r="E229" s="7">
        <f>SUMIFS(Лист2!C:C,Лист2!B:B,'общая таблица'!B229,Лист2!A:A,'общая таблица'!A229)</f>
        <v>60</v>
      </c>
      <c r="F229" s="7">
        <f>SUMIFS(Лист2!D:D,Лист2!B:B,'общая таблица'!B229,Лист2!A:A,'общая таблица'!A229)</f>
        <v>13544</v>
      </c>
      <c r="G229" s="7">
        <f>SUMIFS(Лист2!E:E,Лист2!B:B,'общая таблица'!B229,Лист2!A:A,'общая таблица'!A229)</f>
        <v>12643</v>
      </c>
      <c r="H229" s="18">
        <f t="shared" si="6"/>
        <v>5330296961523</v>
      </c>
      <c r="I229" t="str">
        <f t="shared" si="7"/>
        <v>пятница</v>
      </c>
    </row>
    <row r="230" spans="1:9" ht="14.25" customHeight="1" x14ac:dyDescent="0.3">
      <c r="A230" s="5">
        <v>43967</v>
      </c>
      <c r="B230" s="6" t="s">
        <v>21</v>
      </c>
      <c r="C230" s="22">
        <v>236551.5</v>
      </c>
      <c r="D230" s="22">
        <v>23689383</v>
      </c>
      <c r="E230" s="7">
        <f>SUMIFS(Лист2!C:C,Лист2!B:B,'общая таблица'!B230,Лист2!A:A,'общая таблица'!A230)</f>
        <v>60</v>
      </c>
      <c r="F230" s="7">
        <f>SUMIFS(Лист2!D:D,Лист2!B:B,'общая таблица'!B230,Лист2!A:A,'общая таблица'!A230)</f>
        <v>14049</v>
      </c>
      <c r="G230" s="7">
        <f>SUMIFS(Лист2!E:E,Лист2!B:B,'общая таблица'!B230,Лист2!A:A,'общая таблица'!A230)</f>
        <v>13118</v>
      </c>
      <c r="H230" s="18">
        <f t="shared" si="6"/>
        <v>5603759082724.5</v>
      </c>
      <c r="I230" t="str">
        <f t="shared" si="7"/>
        <v>суббота</v>
      </c>
    </row>
    <row r="231" spans="1:9" ht="14.25" customHeight="1" x14ac:dyDescent="0.3">
      <c r="A231" s="15">
        <v>43968</v>
      </c>
      <c r="B231" s="17" t="s">
        <v>21</v>
      </c>
      <c r="C231" s="23">
        <v>193363.5</v>
      </c>
      <c r="D231" s="23">
        <v>19546386</v>
      </c>
      <c r="E231" s="7">
        <f>SUMIFS(Лист2!C:C,Лист2!B:B,'общая таблица'!B231,Лист2!A:A,'общая таблица'!A231)</f>
        <v>60</v>
      </c>
      <c r="F231" s="7">
        <f>SUMIFS(Лист2!D:D,Лист2!B:B,'общая таблица'!B231,Лист2!A:A,'общая таблица'!A231)</f>
        <v>11698</v>
      </c>
      <c r="G231" s="7">
        <f>SUMIFS(Лист2!E:E,Лист2!B:B,'общая таблица'!B231,Лист2!A:A,'общая таблица'!A231)</f>
        <v>10989</v>
      </c>
      <c r="H231" s="18">
        <f t="shared" si="6"/>
        <v>3779557609311</v>
      </c>
      <c r="I231" t="str">
        <f t="shared" si="7"/>
        <v>воскресенье</v>
      </c>
    </row>
    <row r="232" spans="1:9" ht="14.25" customHeight="1" x14ac:dyDescent="0.3">
      <c r="A232" s="14">
        <v>43969</v>
      </c>
      <c r="B232" s="16" t="s">
        <v>21</v>
      </c>
      <c r="C232" s="20">
        <v>201999</v>
      </c>
      <c r="D232" s="20">
        <v>20422435.5</v>
      </c>
      <c r="E232" s="7">
        <f>SUMIFS(Лист2!C:C,Лист2!B:B,'общая таблица'!B232,Лист2!A:A,'общая таблица'!A232)</f>
        <v>60</v>
      </c>
      <c r="F232" s="7">
        <f>SUMIFS(Лист2!D:D,Лист2!B:B,'общая таблица'!B232,Лист2!A:A,'общая таблица'!A232)</f>
        <v>12460</v>
      </c>
      <c r="G232" s="7">
        <f>SUMIFS(Лист2!E:E,Лист2!B:B,'общая таблица'!B232,Лист2!A:A,'общая таблица'!A232)</f>
        <v>11665</v>
      </c>
      <c r="H232" s="18">
        <f t="shared" si="6"/>
        <v>4125311548564.5</v>
      </c>
      <c r="I232" t="str">
        <f t="shared" si="7"/>
        <v>понедельник</v>
      </c>
    </row>
    <row r="233" spans="1:9" ht="14.25" customHeight="1" x14ac:dyDescent="0.3">
      <c r="A233" s="8">
        <v>43970</v>
      </c>
      <c r="B233" s="9" t="s">
        <v>21</v>
      </c>
      <c r="C233" s="21">
        <v>223597.5</v>
      </c>
      <c r="D233" s="21">
        <v>21945858</v>
      </c>
      <c r="E233" s="7">
        <f>SUMIFS(Лист2!C:C,Лист2!B:B,'общая таблица'!B233,Лист2!A:A,'общая таблица'!A233)</f>
        <v>60</v>
      </c>
      <c r="F233" s="7">
        <f>SUMIFS(Лист2!D:D,Лист2!B:B,'общая таблица'!B233,Лист2!A:A,'общая таблица'!A233)</f>
        <v>13867</v>
      </c>
      <c r="G233" s="7">
        <f>SUMIFS(Лист2!E:E,Лист2!B:B,'общая таблица'!B233,Лист2!A:A,'общая таблица'!A233)</f>
        <v>12987</v>
      </c>
      <c r="H233" s="18">
        <f t="shared" si="6"/>
        <v>4907038984155</v>
      </c>
      <c r="I233" t="str">
        <f t="shared" si="7"/>
        <v>вторник</v>
      </c>
    </row>
    <row r="234" spans="1:9" ht="14.25" customHeight="1" x14ac:dyDescent="0.3">
      <c r="A234" s="14">
        <v>43971</v>
      </c>
      <c r="B234" s="16" t="s">
        <v>21</v>
      </c>
      <c r="C234" s="20">
        <v>219622.5</v>
      </c>
      <c r="D234" s="20">
        <v>21959286</v>
      </c>
      <c r="E234" s="7">
        <f>SUMIFS(Лист2!C:C,Лист2!B:B,'общая таблица'!B234,Лист2!A:A,'общая таблица'!A234)</f>
        <v>60</v>
      </c>
      <c r="F234" s="7">
        <f>SUMIFS(Лист2!D:D,Лист2!B:B,'общая таблица'!B234,Лист2!A:A,'общая таблица'!A234)</f>
        <v>13792</v>
      </c>
      <c r="G234" s="7">
        <f>SUMIFS(Лист2!E:E,Лист2!B:B,'общая таблица'!B234,Лист2!A:A,'общая таблица'!A234)</f>
        <v>12834</v>
      </c>
      <c r="H234" s="18">
        <f t="shared" si="6"/>
        <v>4822753289535</v>
      </c>
      <c r="I234" t="str">
        <f t="shared" si="7"/>
        <v>среда</v>
      </c>
    </row>
    <row r="235" spans="1:9" ht="14.25" customHeight="1" x14ac:dyDescent="0.3">
      <c r="A235" s="15">
        <v>43972</v>
      </c>
      <c r="B235" s="17" t="s">
        <v>21</v>
      </c>
      <c r="C235" s="23">
        <v>224233.5</v>
      </c>
      <c r="D235" s="23">
        <v>22253295</v>
      </c>
      <c r="E235" s="7">
        <f>SUMIFS(Лист2!C:C,Лист2!B:B,'общая таблица'!B235,Лист2!A:A,'общая таблица'!A235)</f>
        <v>60</v>
      </c>
      <c r="F235" s="7">
        <f>SUMIFS(Лист2!D:D,Лист2!B:B,'общая таблица'!B235,Лист2!A:A,'общая таблица'!A235)</f>
        <v>14005</v>
      </c>
      <c r="G235" s="7">
        <f>SUMIFS(Лист2!E:E,Лист2!B:B,'общая таблица'!B235,Лист2!A:A,'общая таблица'!A235)</f>
        <v>13002</v>
      </c>
      <c r="H235" s="18">
        <f t="shared" si="6"/>
        <v>4989934224382.5</v>
      </c>
      <c r="I235" t="str">
        <f t="shared" si="7"/>
        <v>четверг</v>
      </c>
    </row>
    <row r="236" spans="1:9" ht="14.25" customHeight="1" x14ac:dyDescent="0.3">
      <c r="A236" s="5">
        <v>43973</v>
      </c>
      <c r="B236" s="6" t="s">
        <v>21</v>
      </c>
      <c r="C236" s="22">
        <v>228334.5</v>
      </c>
      <c r="D236" s="22">
        <v>22380772.5</v>
      </c>
      <c r="E236" s="7">
        <f>SUMIFS(Лист2!C:C,Лист2!B:B,'общая таблица'!B236,Лист2!A:A,'общая таблица'!A236)</f>
        <v>60</v>
      </c>
      <c r="F236" s="7">
        <f>SUMIFS(Лист2!D:D,Лист2!B:B,'общая таблица'!B236,Лист2!A:A,'общая таблица'!A236)</f>
        <v>14050</v>
      </c>
      <c r="G236" s="7">
        <f>SUMIFS(Лист2!E:E,Лист2!B:B,'общая таблица'!B236,Лист2!A:A,'общая таблица'!A236)</f>
        <v>13027</v>
      </c>
      <c r="H236" s="18">
        <f t="shared" si="6"/>
        <v>5110302498401.25</v>
      </c>
      <c r="I236" t="str">
        <f t="shared" si="7"/>
        <v>пятница</v>
      </c>
    </row>
    <row r="237" spans="1:9" ht="14.25" customHeight="1" x14ac:dyDescent="0.3">
      <c r="A237" s="8">
        <v>43974</v>
      </c>
      <c r="B237" s="9" t="s">
        <v>21</v>
      </c>
      <c r="C237" s="21">
        <v>292018.5</v>
      </c>
      <c r="D237" s="21">
        <v>28590910.5</v>
      </c>
      <c r="E237" s="7">
        <f>SUMIFS(Лист2!C:C,Лист2!B:B,'общая таблица'!B237,Лист2!A:A,'общая таблица'!A237)</f>
        <v>60</v>
      </c>
      <c r="F237" s="7">
        <f>SUMIFS(Лист2!D:D,Лист2!B:B,'общая таблица'!B237,Лист2!A:A,'общая таблица'!A237)</f>
        <v>17295</v>
      </c>
      <c r="G237" s="7">
        <f>SUMIFS(Лист2!E:E,Лист2!B:B,'общая таблица'!B237,Лист2!A:A,'общая таблица'!A237)</f>
        <v>16010</v>
      </c>
      <c r="H237" s="18">
        <f t="shared" si="6"/>
        <v>8349074797844.25</v>
      </c>
      <c r="I237" t="str">
        <f t="shared" si="7"/>
        <v>суббота</v>
      </c>
    </row>
    <row r="238" spans="1:9" ht="14.25" customHeight="1" x14ac:dyDescent="0.3">
      <c r="A238" s="14">
        <v>43975</v>
      </c>
      <c r="B238" s="16" t="s">
        <v>21</v>
      </c>
      <c r="C238" s="20">
        <v>200029.5</v>
      </c>
      <c r="D238" s="20">
        <v>19959801</v>
      </c>
      <c r="E238" s="7">
        <f>SUMIFS(Лист2!C:C,Лист2!B:B,'общая таблица'!B238,Лист2!A:A,'общая таблица'!A238)</f>
        <v>60</v>
      </c>
      <c r="F238" s="7">
        <f>SUMIFS(Лист2!D:D,Лист2!B:B,'общая таблица'!B238,Лист2!A:A,'общая таблица'!A238)</f>
        <v>12822</v>
      </c>
      <c r="G238" s="7">
        <f>SUMIFS(Лист2!E:E,Лист2!B:B,'общая таблица'!B238,Лист2!A:A,'общая таблица'!A238)</f>
        <v>11916</v>
      </c>
      <c r="H238" s="18">
        <f t="shared" si="6"/>
        <v>3992549014129.5</v>
      </c>
      <c r="I238" t="str">
        <f t="shared" si="7"/>
        <v>воскресенье</v>
      </c>
    </row>
    <row r="239" spans="1:9" ht="14.25" customHeight="1" x14ac:dyDescent="0.3">
      <c r="A239" s="15">
        <v>43976</v>
      </c>
      <c r="B239" s="17" t="s">
        <v>21</v>
      </c>
      <c r="C239" s="23">
        <v>198751.5</v>
      </c>
      <c r="D239" s="23">
        <v>20582743.5</v>
      </c>
      <c r="E239" s="7">
        <f>SUMIFS(Лист2!C:C,Лист2!B:B,'общая таблица'!B239,Лист2!A:A,'общая таблица'!A239)</f>
        <v>59</v>
      </c>
      <c r="F239" s="7">
        <f>SUMIFS(Лист2!D:D,Лист2!B:B,'общая таблица'!B239,Лист2!A:A,'общая таблица'!A239)</f>
        <v>12983</v>
      </c>
      <c r="G239" s="7">
        <f>SUMIFS(Лист2!E:E,Лист2!B:B,'общая таблица'!B239,Лист2!A:A,'общая таблица'!A239)</f>
        <v>12056</v>
      </c>
      <c r="H239" s="18">
        <f t="shared" si="6"/>
        <v>4090851144740.25</v>
      </c>
      <c r="I239" t="str">
        <f t="shared" si="7"/>
        <v>понедельник</v>
      </c>
    </row>
    <row r="240" spans="1:9" ht="14.25" customHeight="1" x14ac:dyDescent="0.3">
      <c r="A240" s="14">
        <v>43977</v>
      </c>
      <c r="B240" s="16" t="s">
        <v>21</v>
      </c>
      <c r="C240" s="20">
        <v>244905</v>
      </c>
      <c r="D240" s="20">
        <v>25163431.5</v>
      </c>
      <c r="E240" s="7">
        <f>SUMIFS(Лист2!C:C,Лист2!B:B,'общая таблица'!B240,Лист2!A:A,'общая таблица'!A240)</f>
        <v>59</v>
      </c>
      <c r="F240" s="7">
        <f>SUMIFS(Лист2!D:D,Лист2!B:B,'общая таблица'!B240,Лист2!A:A,'общая таблица'!A240)</f>
        <v>15369</v>
      </c>
      <c r="G240" s="7">
        <f>SUMIFS(Лист2!E:E,Лист2!B:B,'общая таблица'!B240,Лист2!A:A,'общая таблица'!A240)</f>
        <v>14299</v>
      </c>
      <c r="H240" s="18">
        <f t="shared" si="6"/>
        <v>6162650191507.5</v>
      </c>
      <c r="I240" t="str">
        <f t="shared" si="7"/>
        <v>вторник</v>
      </c>
    </row>
    <row r="241" spans="1:9" ht="14.25" customHeight="1" x14ac:dyDescent="0.3">
      <c r="A241" s="8">
        <v>43978</v>
      </c>
      <c r="B241" s="9" t="s">
        <v>21</v>
      </c>
      <c r="C241" s="21">
        <v>215592</v>
      </c>
      <c r="D241" s="21">
        <v>22342300.5</v>
      </c>
      <c r="E241" s="7">
        <f>SUMIFS(Лист2!C:C,Лист2!B:B,'общая таблица'!B241,Лист2!A:A,'общая таблица'!A241)</f>
        <v>59</v>
      </c>
      <c r="F241" s="7">
        <f>SUMIFS(Лист2!D:D,Лист2!B:B,'общая таблица'!B241,Лист2!A:A,'общая таблица'!A241)</f>
        <v>13942</v>
      </c>
      <c r="G241" s="7">
        <f>SUMIFS(Лист2!E:E,Лист2!B:B,'общая таблица'!B241,Лист2!A:A,'общая таблица'!A241)</f>
        <v>12986</v>
      </c>
      <c r="H241" s="18">
        <f t="shared" si="6"/>
        <v>4816821249396</v>
      </c>
      <c r="I241" t="str">
        <f t="shared" si="7"/>
        <v>среда</v>
      </c>
    </row>
    <row r="242" spans="1:9" ht="14.25" customHeight="1" x14ac:dyDescent="0.3">
      <c r="A242" s="5">
        <v>43979</v>
      </c>
      <c r="B242" s="6" t="s">
        <v>21</v>
      </c>
      <c r="C242" s="22">
        <v>199753.5</v>
      </c>
      <c r="D242" s="22">
        <v>20535733.5</v>
      </c>
      <c r="E242" s="7">
        <f>SUMIFS(Лист2!C:C,Лист2!B:B,'общая таблица'!B242,Лист2!A:A,'общая таблица'!A242)</f>
        <v>60</v>
      </c>
      <c r="F242" s="7">
        <f>SUMIFS(Лист2!D:D,Лист2!B:B,'общая таблица'!B242,Лист2!A:A,'общая таблица'!A242)</f>
        <v>12854</v>
      </c>
      <c r="G242" s="7">
        <f>SUMIFS(Лист2!E:E,Лист2!B:B,'общая таблица'!B242,Лист2!A:A,'общая таблица'!A242)</f>
        <v>11954</v>
      </c>
      <c r="H242" s="18">
        <f t="shared" si="6"/>
        <v>4102084641692.25</v>
      </c>
      <c r="I242" t="str">
        <f t="shared" si="7"/>
        <v>четверг</v>
      </c>
    </row>
    <row r="243" spans="1:9" ht="14.25" customHeight="1" x14ac:dyDescent="0.3">
      <c r="A243" s="15">
        <v>43980</v>
      </c>
      <c r="B243" s="17" t="s">
        <v>21</v>
      </c>
      <c r="C243" s="23">
        <v>232102.5</v>
      </c>
      <c r="D243" s="23">
        <v>23120443.5</v>
      </c>
      <c r="E243" s="7">
        <f>SUMIFS(Лист2!C:C,Лист2!B:B,'общая таблица'!B243,Лист2!A:A,'общая таблица'!A243)</f>
        <v>59</v>
      </c>
      <c r="F243" s="7">
        <f>SUMIFS(Лист2!D:D,Лист2!B:B,'общая таблица'!B243,Лист2!A:A,'общая таблица'!A243)</f>
        <v>14507</v>
      </c>
      <c r="G243" s="7">
        <f>SUMIFS(Лист2!E:E,Лист2!B:B,'общая таблица'!B243,Лист2!A:A,'общая таблица'!A243)</f>
        <v>13386</v>
      </c>
      <c r="H243" s="18">
        <f t="shared" si="6"/>
        <v>5366312737458.75</v>
      </c>
      <c r="I243" t="str">
        <f t="shared" si="7"/>
        <v>пятница</v>
      </c>
    </row>
    <row r="244" spans="1:9" ht="14.25" customHeight="1" x14ac:dyDescent="0.3">
      <c r="A244" s="14">
        <v>43981</v>
      </c>
      <c r="B244" s="16" t="s">
        <v>21</v>
      </c>
      <c r="C244" s="20">
        <v>246414</v>
      </c>
      <c r="D244" s="20">
        <v>24527245.5</v>
      </c>
      <c r="E244" s="7">
        <f>SUMIFS(Лист2!C:C,Лист2!B:B,'общая таблица'!B244,Лист2!A:A,'общая таблица'!A244)</f>
        <v>59</v>
      </c>
      <c r="F244" s="7">
        <f>SUMIFS(Лист2!D:D,Лист2!B:B,'общая таблица'!B244,Лист2!A:A,'общая таблица'!A244)</f>
        <v>15030</v>
      </c>
      <c r="G244" s="7">
        <f>SUMIFS(Лист2!E:E,Лист2!B:B,'общая таблица'!B244,Лист2!A:A,'общая таблица'!A244)</f>
        <v>13956</v>
      </c>
      <c r="H244" s="18">
        <f t="shared" si="6"/>
        <v>6043856672637</v>
      </c>
      <c r="I244" t="str">
        <f t="shared" si="7"/>
        <v>суббота</v>
      </c>
    </row>
    <row r="245" spans="1:9" ht="14.25" customHeight="1" x14ac:dyDescent="0.3">
      <c r="A245" s="8">
        <v>43982</v>
      </c>
      <c r="B245" s="9" t="s">
        <v>21</v>
      </c>
      <c r="C245" s="21">
        <v>215277</v>
      </c>
      <c r="D245" s="21">
        <v>21585316.5</v>
      </c>
      <c r="E245" s="7">
        <f>SUMIFS(Лист2!C:C,Лист2!B:B,'общая таблица'!B245,Лист2!A:A,'общая таблица'!A245)</f>
        <v>59</v>
      </c>
      <c r="F245" s="7">
        <f>SUMIFS(Лист2!D:D,Лист2!B:B,'общая таблица'!B245,Лист2!A:A,'общая таблица'!A245)</f>
        <v>13684</v>
      </c>
      <c r="G245" s="7">
        <f>SUMIFS(Лист2!E:E,Лист2!B:B,'общая таблица'!B245,Лист2!A:A,'общая таблица'!A245)</f>
        <v>12690</v>
      </c>
      <c r="H245" s="18">
        <f t="shared" si="6"/>
        <v>4646822180170.5</v>
      </c>
      <c r="I245" t="str">
        <f t="shared" si="7"/>
        <v>воскресенье</v>
      </c>
    </row>
    <row r="246" spans="1:9" ht="14.25" customHeight="1" x14ac:dyDescent="0.3">
      <c r="A246" s="14">
        <v>43983</v>
      </c>
      <c r="B246" s="16" t="s">
        <v>21</v>
      </c>
      <c r="C246" s="20">
        <v>188776.5</v>
      </c>
      <c r="D246" s="20">
        <v>19465372.5</v>
      </c>
      <c r="E246" s="7">
        <f>SUMIFS(Лист2!C:C,Лист2!B:B,'общая таблица'!B246,Лист2!A:A,'общая таблица'!A246)</f>
        <v>59</v>
      </c>
      <c r="F246" s="7">
        <f>SUMIFS(Лист2!D:D,Лист2!B:B,'общая таблица'!B246,Лист2!A:A,'общая таблица'!A246)</f>
        <v>12299</v>
      </c>
      <c r="G246" s="7">
        <f>SUMIFS(Лист2!E:E,Лист2!B:B,'общая таблица'!B246,Лист2!A:A,'общая таблица'!A246)</f>
        <v>11448</v>
      </c>
      <c r="H246" s="18">
        <f t="shared" si="6"/>
        <v>3674604891746.25</v>
      </c>
      <c r="I246" t="str">
        <f t="shared" si="7"/>
        <v>понедельник</v>
      </c>
    </row>
    <row r="247" spans="1:9" ht="14.25" customHeight="1" x14ac:dyDescent="0.3">
      <c r="A247" s="8">
        <v>43949</v>
      </c>
      <c r="B247" s="9" t="s">
        <v>13</v>
      </c>
      <c r="C247" s="21">
        <v>23314.5</v>
      </c>
      <c r="D247" s="21">
        <v>2136817.5</v>
      </c>
      <c r="E247" s="7">
        <f>SUMIFS(Лист2!C:C,Лист2!B:B,'общая таблица'!B247,Лист2!A:A,'общая таблица'!A247)</f>
        <v>17</v>
      </c>
      <c r="F247" s="7">
        <f>SUMIFS(Лист2!D:D,Лист2!B:B,'общая таблица'!B247,Лист2!A:A,'общая таблица'!A247)</f>
        <v>1439</v>
      </c>
      <c r="G247" s="7">
        <f>SUMIFS(Лист2!E:E,Лист2!B:B,'общая таблица'!B247,Лист2!A:A,'общая таблица'!A247)</f>
        <v>1265</v>
      </c>
      <c r="H247" s="18">
        <f t="shared" si="6"/>
        <v>49818831603.75</v>
      </c>
      <c r="I247" t="str">
        <f t="shared" si="7"/>
        <v>вторник</v>
      </c>
    </row>
    <row r="248" spans="1:9" ht="14.25" customHeight="1" x14ac:dyDescent="0.3">
      <c r="A248" s="14">
        <v>43950</v>
      </c>
      <c r="B248" s="16" t="s">
        <v>13</v>
      </c>
      <c r="C248" s="20">
        <v>25917</v>
      </c>
      <c r="D248" s="20">
        <v>2397588</v>
      </c>
      <c r="E248" s="7">
        <f>SUMIFS(Лист2!C:C,Лист2!B:B,'общая таблица'!B248,Лист2!A:A,'общая таблица'!A248)</f>
        <v>18</v>
      </c>
      <c r="F248" s="7">
        <f>SUMIFS(Лист2!D:D,Лист2!B:B,'общая таблица'!B248,Лист2!A:A,'общая таблица'!A248)</f>
        <v>1534</v>
      </c>
      <c r="G248" s="7">
        <f>SUMIFS(Лист2!E:E,Лист2!B:B,'общая таблица'!B248,Лист2!A:A,'общая таблица'!A248)</f>
        <v>1369</v>
      </c>
      <c r="H248" s="18">
        <f t="shared" si="6"/>
        <v>62138288196</v>
      </c>
      <c r="I248" t="str">
        <f t="shared" si="7"/>
        <v>среда</v>
      </c>
    </row>
    <row r="249" spans="1:9" ht="14.25" customHeight="1" x14ac:dyDescent="0.3">
      <c r="A249" s="8">
        <v>43951</v>
      </c>
      <c r="B249" s="9" t="s">
        <v>13</v>
      </c>
      <c r="C249" s="21">
        <v>24211.5</v>
      </c>
      <c r="D249" s="21">
        <v>2267664</v>
      </c>
      <c r="E249" s="7">
        <f>SUMIFS(Лист2!C:C,Лист2!B:B,'общая таблица'!B249,Лист2!A:A,'общая таблица'!A249)</f>
        <v>19</v>
      </c>
      <c r="F249" s="7">
        <f>SUMIFS(Лист2!D:D,Лист2!B:B,'общая таблица'!B249,Лист2!A:A,'общая таблица'!A249)</f>
        <v>1499</v>
      </c>
      <c r="G249" s="7">
        <f>SUMIFS(Лист2!E:E,Лист2!B:B,'общая таблица'!B249,Лист2!A:A,'общая таблица'!A249)</f>
        <v>1322</v>
      </c>
      <c r="H249" s="18">
        <f t="shared" si="6"/>
        <v>54903546936</v>
      </c>
      <c r="I249" t="str">
        <f t="shared" si="7"/>
        <v>четверг</v>
      </c>
    </row>
    <row r="250" spans="1:9" ht="14.25" customHeight="1" x14ac:dyDescent="0.3">
      <c r="A250" s="5">
        <v>43952</v>
      </c>
      <c r="B250" s="6" t="s">
        <v>13</v>
      </c>
      <c r="C250" s="22">
        <v>25792.5</v>
      </c>
      <c r="D250" s="22">
        <v>2374356</v>
      </c>
      <c r="E250" s="7">
        <f>SUMIFS(Лист2!C:C,Лист2!B:B,'общая таблица'!B250,Лист2!A:A,'общая таблица'!A250)</f>
        <v>19</v>
      </c>
      <c r="F250" s="7">
        <f>SUMIFS(Лист2!D:D,Лист2!B:B,'общая таблица'!B250,Лист2!A:A,'общая таблица'!A250)</f>
        <v>1497</v>
      </c>
      <c r="G250" s="7">
        <f>SUMIFS(Лист2!E:E,Лист2!B:B,'общая таблица'!B250,Лист2!A:A,'общая таблица'!A250)</f>
        <v>1291</v>
      </c>
      <c r="H250" s="18">
        <f t="shared" si="6"/>
        <v>61240577130</v>
      </c>
      <c r="I250" t="str">
        <f t="shared" si="7"/>
        <v>пятница</v>
      </c>
    </row>
    <row r="251" spans="1:9" ht="14.25" customHeight="1" x14ac:dyDescent="0.3">
      <c r="A251" s="15">
        <v>43953</v>
      </c>
      <c r="B251" s="17" t="s">
        <v>13</v>
      </c>
      <c r="C251" s="23">
        <v>19461</v>
      </c>
      <c r="D251" s="23">
        <v>1799230.5</v>
      </c>
      <c r="E251" s="7">
        <f>SUMIFS(Лист2!C:C,Лист2!B:B,'общая таблица'!B251,Лист2!A:A,'общая таблица'!A251)</f>
        <v>19</v>
      </c>
      <c r="F251" s="7">
        <f>SUMIFS(Лист2!D:D,Лист2!B:B,'общая таблица'!B251,Лист2!A:A,'общая таблица'!A251)</f>
        <v>1217</v>
      </c>
      <c r="G251" s="7">
        <f>SUMIFS(Лист2!E:E,Лист2!B:B,'общая таблица'!B251,Лист2!A:A,'общая таблица'!A251)</f>
        <v>1048</v>
      </c>
      <c r="H251" s="18">
        <f t="shared" si="6"/>
        <v>35014824760.5</v>
      </c>
      <c r="I251" t="str">
        <f t="shared" si="7"/>
        <v>суббота</v>
      </c>
    </row>
    <row r="252" spans="1:9" ht="14.25" customHeight="1" x14ac:dyDescent="0.3">
      <c r="A252" s="14">
        <v>43954</v>
      </c>
      <c r="B252" s="16" t="s">
        <v>13</v>
      </c>
      <c r="C252" s="20">
        <v>23539.5</v>
      </c>
      <c r="D252" s="20">
        <v>2170309.5</v>
      </c>
      <c r="E252" s="7">
        <f>SUMIFS(Лист2!C:C,Лист2!B:B,'общая таблица'!B252,Лист2!A:A,'общая таблица'!A252)</f>
        <v>19</v>
      </c>
      <c r="F252" s="7">
        <f>SUMIFS(Лист2!D:D,Лист2!B:B,'общая таблица'!B252,Лист2!A:A,'общая таблица'!A252)</f>
        <v>1402</v>
      </c>
      <c r="G252" s="7">
        <f>SUMIFS(Лист2!E:E,Лист2!B:B,'общая таблица'!B252,Лист2!A:A,'общая таблица'!A252)</f>
        <v>1234</v>
      </c>
      <c r="H252" s="18">
        <f t="shared" si="6"/>
        <v>51088000475.25</v>
      </c>
      <c r="I252" t="str">
        <f t="shared" si="7"/>
        <v>воскресенье</v>
      </c>
    </row>
    <row r="253" spans="1:9" ht="14.25" customHeight="1" x14ac:dyDescent="0.3">
      <c r="A253" s="15">
        <v>43955</v>
      </c>
      <c r="B253" s="17" t="s">
        <v>13</v>
      </c>
      <c r="C253" s="23">
        <v>27072</v>
      </c>
      <c r="D253" s="23">
        <v>2450968.5</v>
      </c>
      <c r="E253" s="7">
        <f>SUMIFS(Лист2!C:C,Лист2!B:B,'общая таблица'!B253,Лист2!A:A,'общая таблица'!A253)</f>
        <v>19</v>
      </c>
      <c r="F253" s="7">
        <f>SUMIFS(Лист2!D:D,Лист2!B:B,'общая таблица'!B253,Лист2!A:A,'общая таблица'!A253)</f>
        <v>1582</v>
      </c>
      <c r="G253" s="7">
        <f>SUMIFS(Лист2!E:E,Лист2!B:B,'общая таблица'!B253,Лист2!A:A,'общая таблица'!A253)</f>
        <v>1403</v>
      </c>
      <c r="H253" s="18">
        <f t="shared" si="6"/>
        <v>66352619232</v>
      </c>
      <c r="I253" t="str">
        <f t="shared" si="7"/>
        <v>понедельник</v>
      </c>
    </row>
    <row r="254" spans="1:9" ht="14.25" customHeight="1" x14ac:dyDescent="0.3">
      <c r="A254" s="5">
        <v>43956</v>
      </c>
      <c r="B254" s="6" t="s">
        <v>13</v>
      </c>
      <c r="C254" s="22">
        <v>22848</v>
      </c>
      <c r="D254" s="22">
        <v>2079900</v>
      </c>
      <c r="E254" s="7">
        <f>SUMIFS(Лист2!C:C,Лист2!B:B,'общая таблица'!B254,Лист2!A:A,'общая таблица'!A254)</f>
        <v>19</v>
      </c>
      <c r="F254" s="7">
        <f>SUMIFS(Лист2!D:D,Лист2!B:B,'общая таблица'!B254,Лист2!A:A,'общая таблица'!A254)</f>
        <v>1417</v>
      </c>
      <c r="G254" s="7">
        <f>SUMIFS(Лист2!E:E,Лист2!B:B,'общая таблица'!B254,Лист2!A:A,'общая таблица'!A254)</f>
        <v>1245</v>
      </c>
      <c r="H254" s="18">
        <f t="shared" si="6"/>
        <v>47521555200</v>
      </c>
      <c r="I254" t="str">
        <f t="shared" si="7"/>
        <v>вторник</v>
      </c>
    </row>
    <row r="255" spans="1:9" ht="14.25" customHeight="1" x14ac:dyDescent="0.3">
      <c r="A255" s="15">
        <v>43957</v>
      </c>
      <c r="B255" s="17" t="s">
        <v>13</v>
      </c>
      <c r="C255" s="23">
        <v>24678</v>
      </c>
      <c r="D255" s="23">
        <v>2232519</v>
      </c>
      <c r="E255" s="7">
        <f>SUMIFS(Лист2!C:C,Лист2!B:B,'общая таблица'!B255,Лист2!A:A,'общая таблица'!A255)</f>
        <v>19</v>
      </c>
      <c r="F255" s="7">
        <f>SUMIFS(Лист2!D:D,Лист2!B:B,'общая таблица'!B255,Лист2!A:A,'общая таблица'!A255)</f>
        <v>1499</v>
      </c>
      <c r="G255" s="7">
        <f>SUMIFS(Лист2!E:E,Лист2!B:B,'общая таблица'!B255,Лист2!A:A,'общая таблица'!A255)</f>
        <v>1323</v>
      </c>
      <c r="H255" s="18">
        <f t="shared" si="6"/>
        <v>55094103882</v>
      </c>
      <c r="I255" t="str">
        <f t="shared" si="7"/>
        <v>среда</v>
      </c>
    </row>
    <row r="256" spans="1:9" ht="14.25" customHeight="1" x14ac:dyDescent="0.3">
      <c r="A256" s="5">
        <v>43958</v>
      </c>
      <c r="B256" s="6" t="s">
        <v>13</v>
      </c>
      <c r="C256" s="22">
        <v>25468.5</v>
      </c>
      <c r="D256" s="22">
        <v>2350672.5</v>
      </c>
      <c r="E256" s="7">
        <f>SUMIFS(Лист2!C:C,Лист2!B:B,'общая таблица'!B256,Лист2!A:A,'общая таблица'!A256)</f>
        <v>19</v>
      </c>
      <c r="F256" s="7">
        <f>SUMIFS(Лист2!D:D,Лист2!B:B,'общая таблица'!B256,Лист2!A:A,'общая таблица'!A256)</f>
        <v>1530</v>
      </c>
      <c r="G256" s="7">
        <f>SUMIFS(Лист2!E:E,Лист2!B:B,'общая таблица'!B256,Лист2!A:A,'общая таблица'!A256)</f>
        <v>1338</v>
      </c>
      <c r="H256" s="18">
        <f t="shared" si="6"/>
        <v>59868102566.25</v>
      </c>
      <c r="I256" t="str">
        <f t="shared" si="7"/>
        <v>четверг</v>
      </c>
    </row>
    <row r="257" spans="1:9" ht="14.25" customHeight="1" x14ac:dyDescent="0.3">
      <c r="A257" s="8">
        <v>43959</v>
      </c>
      <c r="B257" s="9" t="s">
        <v>13</v>
      </c>
      <c r="C257" s="21">
        <v>25294.5</v>
      </c>
      <c r="D257" s="21">
        <v>2271454.5</v>
      </c>
      <c r="E257" s="7">
        <f>SUMIFS(Лист2!C:C,Лист2!B:B,'общая таблица'!B257,Лист2!A:A,'общая таблица'!A257)</f>
        <v>19</v>
      </c>
      <c r="F257" s="7">
        <f>SUMIFS(Лист2!D:D,Лист2!B:B,'общая таблица'!B257,Лист2!A:A,'общая таблица'!A257)</f>
        <v>1522</v>
      </c>
      <c r="G257" s="7">
        <f>SUMIFS(Лист2!E:E,Лист2!B:B,'общая таблица'!B257,Лист2!A:A,'общая таблица'!A257)</f>
        <v>1340</v>
      </c>
      <c r="H257" s="18">
        <f t="shared" si="6"/>
        <v>57455305850.25</v>
      </c>
      <c r="I257" t="str">
        <f t="shared" si="7"/>
        <v>пятница</v>
      </c>
    </row>
    <row r="258" spans="1:9" ht="14.25" customHeight="1" x14ac:dyDescent="0.3">
      <c r="A258" s="14">
        <v>43960</v>
      </c>
      <c r="B258" s="16" t="s">
        <v>13</v>
      </c>
      <c r="C258" s="20">
        <v>32079</v>
      </c>
      <c r="D258" s="20">
        <v>2902167</v>
      </c>
      <c r="E258" s="7">
        <f>SUMIFS(Лист2!C:C,Лист2!B:B,'общая таблица'!B258,Лист2!A:A,'общая таблица'!A258)</f>
        <v>19</v>
      </c>
      <c r="F258" s="7">
        <f>SUMIFS(Лист2!D:D,Лист2!B:B,'общая таблица'!B258,Лист2!A:A,'общая таблица'!A258)</f>
        <v>1851</v>
      </c>
      <c r="G258" s="7">
        <f>SUMIFS(Лист2!E:E,Лист2!B:B,'общая таблица'!B258,Лист2!A:A,'общая таблица'!A258)</f>
        <v>1635</v>
      </c>
      <c r="H258" s="18">
        <f t="shared" si="6"/>
        <v>93098615193</v>
      </c>
      <c r="I258" t="str">
        <f t="shared" si="7"/>
        <v>суббота</v>
      </c>
    </row>
    <row r="259" spans="1:9" ht="14.25" customHeight="1" x14ac:dyDescent="0.3">
      <c r="A259" s="15">
        <v>43961</v>
      </c>
      <c r="B259" s="17" t="s">
        <v>13</v>
      </c>
      <c r="C259" s="23">
        <v>31399.5</v>
      </c>
      <c r="D259" s="23">
        <v>2862298.5</v>
      </c>
      <c r="E259" s="7">
        <f>SUMIFS(Лист2!C:C,Лист2!B:B,'общая таблица'!B259,Лист2!A:A,'общая таблица'!A259)</f>
        <v>19</v>
      </c>
      <c r="F259" s="7">
        <f>SUMIFS(Лист2!D:D,Лист2!B:B,'общая таблица'!B259,Лист2!A:A,'общая таблица'!A259)</f>
        <v>1848</v>
      </c>
      <c r="G259" s="7">
        <f>SUMIFS(Лист2!E:E,Лист2!B:B,'общая таблица'!B259,Лист2!A:A,'общая таблица'!A259)</f>
        <v>1649</v>
      </c>
      <c r="H259" s="18">
        <f t="shared" ref="H259:H322" si="8">C259*D259</f>
        <v>89874741750.75</v>
      </c>
      <c r="I259" t="str">
        <f t="shared" ref="I259:I322" si="9">TEXT(A259,"дддд")</f>
        <v>воскресенье</v>
      </c>
    </row>
    <row r="260" spans="1:9" ht="14.25" customHeight="1" x14ac:dyDescent="0.3">
      <c r="A260" s="5">
        <v>43962</v>
      </c>
      <c r="B260" s="6" t="s">
        <v>13</v>
      </c>
      <c r="C260" s="22">
        <v>42397.5</v>
      </c>
      <c r="D260" s="22">
        <v>3911979</v>
      </c>
      <c r="E260" s="7">
        <f>SUMIFS(Лист2!C:C,Лист2!B:B,'общая таблица'!B260,Лист2!A:A,'общая таблица'!A260)</f>
        <v>19</v>
      </c>
      <c r="F260" s="7">
        <f>SUMIFS(Лист2!D:D,Лист2!B:B,'общая таблица'!B260,Лист2!A:A,'общая таблица'!A260)</f>
        <v>2530</v>
      </c>
      <c r="G260" s="7">
        <f>SUMIFS(Лист2!E:E,Лист2!B:B,'общая таблица'!B260,Лист2!A:A,'общая таблица'!A260)</f>
        <v>2270</v>
      </c>
      <c r="H260" s="18">
        <f t="shared" si="8"/>
        <v>165858129652.5</v>
      </c>
      <c r="I260" t="str">
        <f t="shared" si="9"/>
        <v>понедельник</v>
      </c>
    </row>
    <row r="261" spans="1:9" ht="14.25" customHeight="1" x14ac:dyDescent="0.3">
      <c r="A261" s="8">
        <v>43963</v>
      </c>
      <c r="B261" s="9" t="s">
        <v>13</v>
      </c>
      <c r="C261" s="21">
        <v>26032.5</v>
      </c>
      <c r="D261" s="21">
        <v>2370432</v>
      </c>
      <c r="E261" s="7">
        <f>SUMIFS(Лист2!C:C,Лист2!B:B,'общая таблица'!B261,Лист2!A:A,'общая таблица'!A261)</f>
        <v>19</v>
      </c>
      <c r="F261" s="7">
        <f>SUMIFS(Лист2!D:D,Лист2!B:B,'общая таблица'!B261,Лист2!A:A,'общая таблица'!A261)</f>
        <v>1649</v>
      </c>
      <c r="G261" s="7">
        <f>SUMIFS(Лист2!E:E,Лист2!B:B,'общая таблица'!B261,Лист2!A:A,'общая таблица'!A261)</f>
        <v>1460</v>
      </c>
      <c r="H261" s="18">
        <f t="shared" si="8"/>
        <v>61708271040</v>
      </c>
      <c r="I261" t="str">
        <f t="shared" si="9"/>
        <v>вторник</v>
      </c>
    </row>
    <row r="262" spans="1:9" ht="14.25" customHeight="1" x14ac:dyDescent="0.3">
      <c r="A262" s="5">
        <v>43964</v>
      </c>
      <c r="B262" s="6" t="s">
        <v>13</v>
      </c>
      <c r="C262" s="22">
        <v>26464.5</v>
      </c>
      <c r="D262" s="22">
        <v>2373337.5</v>
      </c>
      <c r="E262" s="7">
        <f>SUMIFS(Лист2!C:C,Лист2!B:B,'общая таблица'!B262,Лист2!A:A,'общая таблица'!A262)</f>
        <v>19</v>
      </c>
      <c r="F262" s="7">
        <f>SUMIFS(Лист2!D:D,Лист2!B:B,'общая таблица'!B262,Лист2!A:A,'общая таблица'!A262)</f>
        <v>1625</v>
      </c>
      <c r="G262" s="7">
        <f>SUMIFS(Лист2!E:E,Лист2!B:B,'общая таблица'!B262,Лист2!A:A,'общая таблица'!A262)</f>
        <v>1444</v>
      </c>
      <c r="H262" s="18">
        <f t="shared" si="8"/>
        <v>62809190268.75</v>
      </c>
      <c r="I262" t="str">
        <f t="shared" si="9"/>
        <v>среда</v>
      </c>
    </row>
    <row r="263" spans="1:9" ht="14.25" customHeight="1" x14ac:dyDescent="0.3">
      <c r="A263" s="15">
        <v>43965</v>
      </c>
      <c r="B263" s="17" t="s">
        <v>13</v>
      </c>
      <c r="C263" s="23">
        <v>27411</v>
      </c>
      <c r="D263" s="23">
        <v>2441520</v>
      </c>
      <c r="E263" s="7">
        <f>SUMIFS(Лист2!C:C,Лист2!B:B,'общая таблица'!B263,Лист2!A:A,'общая таблица'!A263)</f>
        <v>19</v>
      </c>
      <c r="F263" s="7">
        <f>SUMIFS(Лист2!D:D,Лист2!B:B,'общая таблица'!B263,Лист2!A:A,'общая таблица'!A263)</f>
        <v>1675</v>
      </c>
      <c r="G263" s="7">
        <f>SUMIFS(Лист2!E:E,Лист2!B:B,'общая таблица'!B263,Лист2!A:A,'общая таблица'!A263)</f>
        <v>1475</v>
      </c>
      <c r="H263" s="18">
        <f t="shared" si="8"/>
        <v>66924504720</v>
      </c>
      <c r="I263" t="str">
        <f t="shared" si="9"/>
        <v>четверг</v>
      </c>
    </row>
    <row r="264" spans="1:9" ht="14.25" customHeight="1" x14ac:dyDescent="0.3">
      <c r="A264" s="14">
        <v>43966</v>
      </c>
      <c r="B264" s="16" t="s">
        <v>13</v>
      </c>
      <c r="C264" s="20">
        <v>32854.5</v>
      </c>
      <c r="D264" s="20">
        <v>2949078</v>
      </c>
      <c r="E264" s="7">
        <f>SUMIFS(Лист2!C:C,Лист2!B:B,'общая таблица'!B264,Лист2!A:A,'общая таблица'!A264)</f>
        <v>19</v>
      </c>
      <c r="F264" s="7">
        <f>SUMIFS(Лист2!D:D,Лист2!B:B,'общая таблица'!B264,Лист2!A:A,'общая таблица'!A264)</f>
        <v>1940</v>
      </c>
      <c r="G264" s="7">
        <f>SUMIFS(Лист2!E:E,Лист2!B:B,'общая таблица'!B264,Лист2!A:A,'общая таблица'!A264)</f>
        <v>1715</v>
      </c>
      <c r="H264" s="18">
        <f t="shared" si="8"/>
        <v>96890483151</v>
      </c>
      <c r="I264" t="str">
        <f t="shared" si="9"/>
        <v>пятница</v>
      </c>
    </row>
    <row r="265" spans="1:9" ht="14.25" customHeight="1" x14ac:dyDescent="0.3">
      <c r="A265" s="15">
        <v>43967</v>
      </c>
      <c r="B265" s="17" t="s">
        <v>13</v>
      </c>
      <c r="C265" s="23">
        <v>35482.5</v>
      </c>
      <c r="D265" s="23">
        <v>3222517.5</v>
      </c>
      <c r="E265" s="7">
        <f>SUMIFS(Лист2!C:C,Лист2!B:B,'общая таблица'!B265,Лист2!A:A,'общая таблица'!A265)</f>
        <v>19</v>
      </c>
      <c r="F265" s="7">
        <f>SUMIFS(Лист2!D:D,Лист2!B:B,'общая таблица'!B265,Лист2!A:A,'общая таблица'!A265)</f>
        <v>2080</v>
      </c>
      <c r="G265" s="7">
        <f>SUMIFS(Лист2!E:E,Лист2!B:B,'общая таблица'!B265,Лист2!A:A,'общая таблица'!A265)</f>
        <v>1844</v>
      </c>
      <c r="H265" s="18">
        <f t="shared" si="8"/>
        <v>114342977193.75</v>
      </c>
      <c r="I265" t="str">
        <f t="shared" si="9"/>
        <v>суббота</v>
      </c>
    </row>
    <row r="266" spans="1:9" ht="14.25" customHeight="1" x14ac:dyDescent="0.3">
      <c r="A266" s="5">
        <v>43968</v>
      </c>
      <c r="B266" s="6" t="s">
        <v>13</v>
      </c>
      <c r="C266" s="22">
        <v>30486</v>
      </c>
      <c r="D266" s="22">
        <v>2694289.5</v>
      </c>
      <c r="E266" s="7">
        <f>SUMIFS(Лист2!C:C,Лист2!B:B,'общая таблица'!B266,Лист2!A:A,'общая таблица'!A266)</f>
        <v>19</v>
      </c>
      <c r="F266" s="7">
        <f>SUMIFS(Лист2!D:D,Лист2!B:B,'общая таблица'!B266,Лист2!A:A,'общая таблица'!A266)</f>
        <v>1871</v>
      </c>
      <c r="G266" s="7">
        <f>SUMIFS(Лист2!E:E,Лист2!B:B,'общая таблица'!B266,Лист2!A:A,'общая таблица'!A266)</f>
        <v>1660</v>
      </c>
      <c r="H266" s="18">
        <f t="shared" si="8"/>
        <v>82138109697</v>
      </c>
      <c r="I266" t="str">
        <f t="shared" si="9"/>
        <v>воскресенье</v>
      </c>
    </row>
    <row r="267" spans="1:9" ht="14.25" customHeight="1" x14ac:dyDescent="0.3">
      <c r="A267" s="8">
        <v>43969</v>
      </c>
      <c r="B267" s="9" t="s">
        <v>13</v>
      </c>
      <c r="C267" s="21">
        <v>28668</v>
      </c>
      <c r="D267" s="21">
        <v>2588148</v>
      </c>
      <c r="E267" s="7">
        <f>SUMIFS(Лист2!C:C,Лист2!B:B,'общая таблица'!B267,Лист2!A:A,'общая таблица'!A267)</f>
        <v>19</v>
      </c>
      <c r="F267" s="7">
        <f>SUMIFS(Лист2!D:D,Лист2!B:B,'общая таблица'!B267,Лист2!A:A,'общая таблица'!A267)</f>
        <v>1858</v>
      </c>
      <c r="G267" s="7">
        <f>SUMIFS(Лист2!E:E,Лист2!B:B,'общая таблица'!B267,Лист2!A:A,'общая таблица'!A267)</f>
        <v>1648</v>
      </c>
      <c r="H267" s="18">
        <f t="shared" si="8"/>
        <v>74197026864</v>
      </c>
      <c r="I267" t="str">
        <f t="shared" si="9"/>
        <v>понедельник</v>
      </c>
    </row>
    <row r="268" spans="1:9" ht="14.25" customHeight="1" x14ac:dyDescent="0.3">
      <c r="A268" s="14">
        <v>43970</v>
      </c>
      <c r="B268" s="16" t="s">
        <v>13</v>
      </c>
      <c r="C268" s="20">
        <v>32434.5</v>
      </c>
      <c r="D268" s="20">
        <v>2865337.5</v>
      </c>
      <c r="E268" s="7">
        <f>SUMIFS(Лист2!C:C,Лист2!B:B,'общая таблица'!B268,Лист2!A:A,'общая таблица'!A268)</f>
        <v>19</v>
      </c>
      <c r="F268" s="7">
        <f>SUMIFS(Лист2!D:D,Лист2!B:B,'общая таблица'!B268,Лист2!A:A,'общая таблица'!A268)</f>
        <v>1999</v>
      </c>
      <c r="G268" s="7">
        <f>SUMIFS(Лист2!E:E,Лист2!B:B,'общая таблица'!B268,Лист2!A:A,'общая таблица'!A268)</f>
        <v>1799</v>
      </c>
      <c r="H268" s="18">
        <f t="shared" si="8"/>
        <v>92935789143.75</v>
      </c>
      <c r="I268" t="str">
        <f t="shared" si="9"/>
        <v>вторник</v>
      </c>
    </row>
    <row r="269" spans="1:9" ht="14.25" customHeight="1" x14ac:dyDescent="0.3">
      <c r="A269" s="8">
        <v>43971</v>
      </c>
      <c r="B269" s="9" t="s">
        <v>13</v>
      </c>
      <c r="C269" s="21">
        <v>29955</v>
      </c>
      <c r="D269" s="21">
        <v>2692230</v>
      </c>
      <c r="E269" s="7">
        <f>SUMIFS(Лист2!C:C,Лист2!B:B,'общая таблица'!B269,Лист2!A:A,'общая таблица'!A269)</f>
        <v>19</v>
      </c>
      <c r="F269" s="7">
        <f>SUMIFS(Лист2!D:D,Лист2!B:B,'общая таблица'!B269,Лист2!A:A,'общая таблица'!A269)</f>
        <v>1889</v>
      </c>
      <c r="G269" s="7">
        <f>SUMIFS(Лист2!E:E,Лист2!B:B,'общая таблица'!B269,Лист2!A:A,'общая таблица'!A269)</f>
        <v>1690</v>
      </c>
      <c r="H269" s="18">
        <f t="shared" si="8"/>
        <v>80645749650</v>
      </c>
      <c r="I269" t="str">
        <f t="shared" si="9"/>
        <v>среда</v>
      </c>
    </row>
    <row r="270" spans="1:9" ht="14.25" customHeight="1" x14ac:dyDescent="0.3">
      <c r="A270" s="5">
        <v>43972</v>
      </c>
      <c r="B270" s="6" t="s">
        <v>13</v>
      </c>
      <c r="C270" s="22">
        <v>31707</v>
      </c>
      <c r="D270" s="22">
        <v>2853181.5</v>
      </c>
      <c r="E270" s="7">
        <f>SUMIFS(Лист2!C:C,Лист2!B:B,'общая таблица'!B270,Лист2!A:A,'общая таблица'!A270)</f>
        <v>19</v>
      </c>
      <c r="F270" s="7">
        <f>SUMIFS(Лист2!D:D,Лист2!B:B,'общая таблица'!B270,Лист2!A:A,'общая таблица'!A270)</f>
        <v>1949</v>
      </c>
      <c r="G270" s="7">
        <f>SUMIFS(Лист2!E:E,Лист2!B:B,'общая таблица'!B270,Лист2!A:A,'общая таблица'!A270)</f>
        <v>1724</v>
      </c>
      <c r="H270" s="18">
        <f t="shared" si="8"/>
        <v>90465825820.5</v>
      </c>
      <c r="I270" t="str">
        <f t="shared" si="9"/>
        <v>четверг</v>
      </c>
    </row>
    <row r="271" spans="1:9" ht="14.25" customHeight="1" x14ac:dyDescent="0.3">
      <c r="A271" s="15">
        <v>43973</v>
      </c>
      <c r="B271" s="17" t="s">
        <v>13</v>
      </c>
      <c r="C271" s="23">
        <v>38074.5</v>
      </c>
      <c r="D271" s="23">
        <v>3414180</v>
      </c>
      <c r="E271" s="7">
        <f>SUMIFS(Лист2!C:C,Лист2!B:B,'общая таблица'!B271,Лист2!A:A,'общая таблица'!A271)</f>
        <v>20</v>
      </c>
      <c r="F271" s="7">
        <f>SUMIFS(Лист2!D:D,Лист2!B:B,'общая таблица'!B271,Лист2!A:A,'общая таблица'!A271)</f>
        <v>2306</v>
      </c>
      <c r="G271" s="7">
        <f>SUMIFS(Лист2!E:E,Лист2!B:B,'общая таблица'!B271,Лист2!A:A,'общая таблица'!A271)</f>
        <v>2054</v>
      </c>
      <c r="H271" s="18">
        <f t="shared" si="8"/>
        <v>129993196410</v>
      </c>
      <c r="I271" t="str">
        <f t="shared" si="9"/>
        <v>пятница</v>
      </c>
    </row>
    <row r="272" spans="1:9" ht="14.25" customHeight="1" x14ac:dyDescent="0.3">
      <c r="A272" s="14">
        <v>43974</v>
      </c>
      <c r="B272" s="16" t="s">
        <v>13</v>
      </c>
      <c r="C272" s="20">
        <v>38176.5</v>
      </c>
      <c r="D272" s="20">
        <v>3385372.5</v>
      </c>
      <c r="E272" s="7">
        <f>SUMIFS(Лист2!C:C,Лист2!B:B,'общая таблица'!B272,Лист2!A:A,'общая таблица'!A272)</f>
        <v>20</v>
      </c>
      <c r="F272" s="7">
        <f>SUMIFS(Лист2!D:D,Лист2!B:B,'общая таблица'!B272,Лист2!A:A,'общая таблица'!A272)</f>
        <v>2266</v>
      </c>
      <c r="G272" s="7">
        <f>SUMIFS(Лист2!E:E,Лист2!B:B,'общая таблица'!B272,Лист2!A:A,'общая таблица'!A272)</f>
        <v>1993</v>
      </c>
      <c r="H272" s="18">
        <f t="shared" si="8"/>
        <v>129241673246.25</v>
      </c>
      <c r="I272" t="str">
        <f t="shared" si="9"/>
        <v>суббота</v>
      </c>
    </row>
    <row r="273" spans="1:9" ht="14.25" customHeight="1" x14ac:dyDescent="0.3">
      <c r="A273" s="8">
        <v>43975</v>
      </c>
      <c r="B273" s="9" t="s">
        <v>13</v>
      </c>
      <c r="C273" s="21">
        <v>31854</v>
      </c>
      <c r="D273" s="21">
        <v>2915533.5</v>
      </c>
      <c r="E273" s="7">
        <f>SUMIFS(Лист2!C:C,Лист2!B:B,'общая таблица'!B273,Лист2!A:A,'общая таблица'!A273)</f>
        <v>20</v>
      </c>
      <c r="F273" s="7">
        <f>SUMIFS(Лист2!D:D,Лист2!B:B,'общая таблица'!B273,Лист2!A:A,'общая таблица'!A273)</f>
        <v>2015</v>
      </c>
      <c r="G273" s="7">
        <f>SUMIFS(Лист2!E:E,Лист2!B:B,'общая таблица'!B273,Лист2!A:A,'общая таблица'!A273)</f>
        <v>1803</v>
      </c>
      <c r="H273" s="18">
        <f t="shared" si="8"/>
        <v>92871404109</v>
      </c>
      <c r="I273" t="str">
        <f t="shared" si="9"/>
        <v>воскресенье</v>
      </c>
    </row>
    <row r="274" spans="1:9" ht="14.25" customHeight="1" x14ac:dyDescent="0.3">
      <c r="A274" s="5">
        <v>43976</v>
      </c>
      <c r="B274" s="6" t="s">
        <v>13</v>
      </c>
      <c r="C274" s="22">
        <v>30603</v>
      </c>
      <c r="D274" s="22">
        <v>2865727.5</v>
      </c>
      <c r="E274" s="7">
        <f>SUMIFS(Лист2!C:C,Лист2!B:B,'общая таблица'!B274,Лист2!A:A,'общая таблица'!A274)</f>
        <v>20</v>
      </c>
      <c r="F274" s="7">
        <f>SUMIFS(Лист2!D:D,Лист2!B:B,'общая таблица'!B274,Лист2!A:A,'общая таблица'!A274)</f>
        <v>2011</v>
      </c>
      <c r="G274" s="7">
        <f>SUMIFS(Лист2!E:E,Лист2!B:B,'общая таблица'!B274,Лист2!A:A,'общая таблица'!A274)</f>
        <v>1791</v>
      </c>
      <c r="H274" s="18">
        <f t="shared" si="8"/>
        <v>87699858682.5</v>
      </c>
      <c r="I274" t="str">
        <f t="shared" si="9"/>
        <v>понедельник</v>
      </c>
    </row>
    <row r="275" spans="1:9" ht="14.25" customHeight="1" x14ac:dyDescent="0.3">
      <c r="A275" s="8">
        <v>43977</v>
      </c>
      <c r="B275" s="9" t="s">
        <v>13</v>
      </c>
      <c r="C275" s="21">
        <v>31407</v>
      </c>
      <c r="D275" s="21">
        <v>2907411</v>
      </c>
      <c r="E275" s="7">
        <f>SUMIFS(Лист2!C:C,Лист2!B:B,'общая таблица'!B275,Лист2!A:A,'общая таблица'!A275)</f>
        <v>20</v>
      </c>
      <c r="F275" s="7">
        <f>SUMIFS(Лист2!D:D,Лист2!B:B,'общая таблица'!B275,Лист2!A:A,'общая таблица'!A275)</f>
        <v>2036</v>
      </c>
      <c r="G275" s="7">
        <f>SUMIFS(Лист2!E:E,Лист2!B:B,'общая таблица'!B275,Лист2!A:A,'общая таблица'!A275)</f>
        <v>1790</v>
      </c>
      <c r="H275" s="18">
        <f t="shared" si="8"/>
        <v>91313057277</v>
      </c>
      <c r="I275" t="str">
        <f t="shared" si="9"/>
        <v>вторник</v>
      </c>
    </row>
    <row r="276" spans="1:9" ht="14.25" customHeight="1" x14ac:dyDescent="0.3">
      <c r="A276" s="14">
        <v>43978</v>
      </c>
      <c r="B276" s="16" t="s">
        <v>13</v>
      </c>
      <c r="C276" s="20">
        <v>31257</v>
      </c>
      <c r="D276" s="20">
        <v>2924133</v>
      </c>
      <c r="E276" s="7">
        <f>SUMIFS(Лист2!C:C,Лист2!B:B,'общая таблица'!B276,Лист2!A:A,'общая таблица'!A276)</f>
        <v>20</v>
      </c>
      <c r="F276" s="7">
        <f>SUMIFS(Лист2!D:D,Лист2!B:B,'общая таблица'!B276,Лист2!A:A,'общая таблица'!A276)</f>
        <v>2079</v>
      </c>
      <c r="G276" s="7">
        <f>SUMIFS(Лист2!E:E,Лист2!B:B,'общая таблица'!B276,Лист2!A:A,'общая таблица'!A276)</f>
        <v>1856</v>
      </c>
      <c r="H276" s="18">
        <f t="shared" si="8"/>
        <v>91399625181</v>
      </c>
      <c r="I276" t="str">
        <f t="shared" si="9"/>
        <v>среда</v>
      </c>
    </row>
    <row r="277" spans="1:9" ht="14.25" customHeight="1" x14ac:dyDescent="0.3">
      <c r="A277" s="15">
        <v>43979</v>
      </c>
      <c r="B277" s="17" t="s">
        <v>13</v>
      </c>
      <c r="C277" s="23">
        <v>31974</v>
      </c>
      <c r="D277" s="23">
        <v>3004213.5</v>
      </c>
      <c r="E277" s="7">
        <f>SUMIFS(Лист2!C:C,Лист2!B:B,'общая таблица'!B277,Лист2!A:A,'общая таблица'!A277)</f>
        <v>20</v>
      </c>
      <c r="F277" s="7">
        <f>SUMIFS(Лист2!D:D,Лист2!B:B,'общая таблица'!B277,Лист2!A:A,'общая таблица'!A277)</f>
        <v>2088</v>
      </c>
      <c r="G277" s="7">
        <f>SUMIFS(Лист2!E:E,Лист2!B:B,'общая таблица'!B277,Лист2!A:A,'общая таблица'!A277)</f>
        <v>1848</v>
      </c>
      <c r="H277" s="18">
        <f t="shared" si="8"/>
        <v>96056722449</v>
      </c>
      <c r="I277" t="str">
        <f t="shared" si="9"/>
        <v>четверг</v>
      </c>
    </row>
    <row r="278" spans="1:9" ht="14.25" customHeight="1" x14ac:dyDescent="0.3">
      <c r="A278" s="5">
        <v>43980</v>
      </c>
      <c r="B278" s="6" t="s">
        <v>13</v>
      </c>
      <c r="C278" s="22">
        <v>35346</v>
      </c>
      <c r="D278" s="22">
        <v>3258054</v>
      </c>
      <c r="E278" s="7">
        <f>SUMIFS(Лист2!C:C,Лист2!B:B,'общая таблица'!B278,Лист2!A:A,'общая таблица'!A278)</f>
        <v>20</v>
      </c>
      <c r="F278" s="7">
        <f>SUMIFS(Лист2!D:D,Лист2!B:B,'общая таблица'!B278,Лист2!A:A,'общая таблица'!A278)</f>
        <v>2249</v>
      </c>
      <c r="G278" s="7">
        <f>SUMIFS(Лист2!E:E,Лист2!B:B,'общая таблица'!B278,Лист2!A:A,'общая таблица'!A278)</f>
        <v>2000</v>
      </c>
      <c r="H278" s="18">
        <f t="shared" si="8"/>
        <v>115159176684</v>
      </c>
      <c r="I278" t="str">
        <f t="shared" si="9"/>
        <v>пятница</v>
      </c>
    </row>
    <row r="279" spans="1:9" ht="14.25" customHeight="1" x14ac:dyDescent="0.3">
      <c r="A279" s="8">
        <v>43981</v>
      </c>
      <c r="B279" s="9" t="s">
        <v>13</v>
      </c>
      <c r="C279" s="21">
        <v>39867</v>
      </c>
      <c r="D279" s="21">
        <v>3654166.5</v>
      </c>
      <c r="E279" s="7">
        <f>SUMIFS(Лист2!C:C,Лист2!B:B,'общая таблица'!B279,Лист2!A:A,'общая таблица'!A279)</f>
        <v>20</v>
      </c>
      <c r="F279" s="7">
        <f>SUMIFS(Лист2!D:D,Лист2!B:B,'общая таблица'!B279,Лист2!A:A,'общая таблица'!A279)</f>
        <v>2451</v>
      </c>
      <c r="G279" s="7">
        <f>SUMIFS(Лист2!E:E,Лист2!B:B,'общая таблица'!B279,Лист2!A:A,'общая таблица'!A279)</f>
        <v>2178</v>
      </c>
      <c r="H279" s="18">
        <f t="shared" si="8"/>
        <v>145680655855.5</v>
      </c>
      <c r="I279" t="str">
        <f t="shared" si="9"/>
        <v>суббота</v>
      </c>
    </row>
    <row r="280" spans="1:9" ht="14.25" customHeight="1" x14ac:dyDescent="0.3">
      <c r="A280" s="5">
        <v>43982</v>
      </c>
      <c r="B280" s="6" t="s">
        <v>13</v>
      </c>
      <c r="C280" s="22">
        <v>32359.5</v>
      </c>
      <c r="D280" s="22">
        <v>2991999</v>
      </c>
      <c r="E280" s="7">
        <f>SUMIFS(Лист2!C:C,Лист2!B:B,'общая таблица'!B280,Лист2!A:A,'общая таблица'!A280)</f>
        <v>20</v>
      </c>
      <c r="F280" s="7">
        <f>SUMIFS(Лист2!D:D,Лист2!B:B,'общая таблица'!B280,Лист2!A:A,'общая таблица'!A280)</f>
        <v>2060</v>
      </c>
      <c r="G280" s="7">
        <f>SUMIFS(Лист2!E:E,Лист2!B:B,'общая таблица'!B280,Лист2!A:A,'общая таблица'!A280)</f>
        <v>1826</v>
      </c>
      <c r="H280" s="18">
        <f t="shared" si="8"/>
        <v>96819591640.5</v>
      </c>
      <c r="I280" t="str">
        <f t="shared" si="9"/>
        <v>воскресенье</v>
      </c>
    </row>
    <row r="281" spans="1:9" ht="14.25" customHeight="1" x14ac:dyDescent="0.3">
      <c r="A281" s="8">
        <v>43983</v>
      </c>
      <c r="B281" s="9" t="s">
        <v>13</v>
      </c>
      <c r="C281" s="21">
        <v>32170.5</v>
      </c>
      <c r="D281" s="21">
        <v>3013512</v>
      </c>
      <c r="E281" s="7">
        <f>SUMIFS(Лист2!C:C,Лист2!B:B,'общая таблица'!B281,Лист2!A:A,'общая таблица'!A281)</f>
        <v>20</v>
      </c>
      <c r="F281" s="7">
        <f>SUMIFS(Лист2!D:D,Лист2!B:B,'общая таблица'!B281,Лист2!A:A,'общая таблица'!A281)</f>
        <v>2136</v>
      </c>
      <c r="G281" s="7">
        <f>SUMIFS(Лист2!E:E,Лист2!B:B,'общая таблица'!B281,Лист2!A:A,'общая таблица'!A281)</f>
        <v>1899</v>
      </c>
      <c r="H281" s="18">
        <f t="shared" si="8"/>
        <v>96946187796</v>
      </c>
      <c r="I281" t="str">
        <f t="shared" si="9"/>
        <v>понедельник</v>
      </c>
    </row>
    <row r="282" spans="1:9" ht="14.25" customHeight="1" x14ac:dyDescent="0.3">
      <c r="A282" s="5">
        <v>43949</v>
      </c>
      <c r="B282" s="6" t="s">
        <v>23</v>
      </c>
      <c r="C282" s="22">
        <v>12541.5</v>
      </c>
      <c r="D282" s="22">
        <v>992541</v>
      </c>
      <c r="E282" s="7">
        <f>SUMIFS(Лист2!C:C,Лист2!B:B,'общая таблица'!B282,Лист2!A:A,'общая таблица'!A282)</f>
        <v>15</v>
      </c>
      <c r="F282" s="7">
        <f>SUMIFS(Лист2!D:D,Лист2!B:B,'общая таблица'!B282,Лист2!A:A,'общая таблица'!A282)</f>
        <v>636</v>
      </c>
      <c r="G282" s="7">
        <f>SUMIFS(Лист2!E:E,Лист2!B:B,'общая таблица'!B282,Лист2!A:A,'общая таблица'!A282)</f>
        <v>547</v>
      </c>
      <c r="H282" s="18">
        <f t="shared" si="8"/>
        <v>12447952951.5</v>
      </c>
      <c r="I282" t="str">
        <f t="shared" si="9"/>
        <v>вторник</v>
      </c>
    </row>
    <row r="283" spans="1:9" ht="14.25" customHeight="1" x14ac:dyDescent="0.3">
      <c r="A283" s="8">
        <v>43950</v>
      </c>
      <c r="B283" s="9" t="s">
        <v>23</v>
      </c>
      <c r="C283" s="21">
        <v>12250.5</v>
      </c>
      <c r="D283" s="21">
        <v>981519</v>
      </c>
      <c r="E283" s="7">
        <f>SUMIFS(Лист2!C:C,Лист2!B:B,'общая таблица'!B283,Лист2!A:A,'общая таблица'!A283)</f>
        <v>15</v>
      </c>
      <c r="F283" s="7">
        <f>SUMIFS(Лист2!D:D,Лист2!B:B,'общая таблица'!B283,Лист2!A:A,'общая таблица'!A283)</f>
        <v>659</v>
      </c>
      <c r="G283" s="7">
        <f>SUMIFS(Лист2!E:E,Лист2!B:B,'общая таблица'!B283,Лист2!A:A,'общая таблица'!A283)</f>
        <v>575</v>
      </c>
      <c r="H283" s="18">
        <f t="shared" si="8"/>
        <v>12024098509.5</v>
      </c>
      <c r="I283" t="str">
        <f t="shared" si="9"/>
        <v>среда</v>
      </c>
    </row>
    <row r="284" spans="1:9" ht="14.25" customHeight="1" x14ac:dyDescent="0.3">
      <c r="A284" s="14">
        <v>43951</v>
      </c>
      <c r="B284" s="16" t="s">
        <v>23</v>
      </c>
      <c r="C284" s="20">
        <v>11976</v>
      </c>
      <c r="D284" s="20">
        <v>1004511</v>
      </c>
      <c r="E284" s="7">
        <f>SUMIFS(Лист2!C:C,Лист2!B:B,'общая таблица'!B284,Лист2!A:A,'общая таблица'!A284)</f>
        <v>15</v>
      </c>
      <c r="F284" s="7">
        <f>SUMIFS(Лист2!D:D,Лист2!B:B,'общая таблица'!B284,Лист2!A:A,'общая таблица'!A284)</f>
        <v>644</v>
      </c>
      <c r="G284" s="7">
        <f>SUMIFS(Лист2!E:E,Лист2!B:B,'общая таблица'!B284,Лист2!A:A,'общая таблица'!A284)</f>
        <v>550</v>
      </c>
      <c r="H284" s="18">
        <f t="shared" si="8"/>
        <v>12030023736</v>
      </c>
      <c r="I284" t="str">
        <f t="shared" si="9"/>
        <v>четверг</v>
      </c>
    </row>
    <row r="285" spans="1:9" ht="14.25" customHeight="1" x14ac:dyDescent="0.3">
      <c r="A285" s="8">
        <v>43952</v>
      </c>
      <c r="B285" s="9" t="s">
        <v>23</v>
      </c>
      <c r="C285" s="21">
        <v>13644</v>
      </c>
      <c r="D285" s="21">
        <v>1134444</v>
      </c>
      <c r="E285" s="7">
        <f>SUMIFS(Лист2!C:C,Лист2!B:B,'общая таблица'!B285,Лист2!A:A,'общая таблица'!A285)</f>
        <v>15</v>
      </c>
      <c r="F285" s="7">
        <f>SUMIFS(Лист2!D:D,Лист2!B:B,'общая таблица'!B285,Лист2!A:A,'общая таблица'!A285)</f>
        <v>721</v>
      </c>
      <c r="G285" s="7">
        <f>SUMIFS(Лист2!E:E,Лист2!B:B,'общая таблица'!B285,Лист2!A:A,'общая таблица'!A285)</f>
        <v>625</v>
      </c>
      <c r="H285" s="18">
        <f t="shared" si="8"/>
        <v>15478353936</v>
      </c>
      <c r="I285" t="str">
        <f t="shared" si="9"/>
        <v>пятница</v>
      </c>
    </row>
    <row r="286" spans="1:9" ht="14.25" customHeight="1" x14ac:dyDescent="0.3">
      <c r="A286" s="14">
        <v>43953</v>
      </c>
      <c r="B286" s="16" t="s">
        <v>23</v>
      </c>
      <c r="C286" s="20">
        <v>10018.5</v>
      </c>
      <c r="D286" s="20">
        <v>816859.5</v>
      </c>
      <c r="E286" s="7">
        <f>SUMIFS(Лист2!C:C,Лист2!B:B,'общая таблица'!B286,Лист2!A:A,'общая таблица'!A286)</f>
        <v>15</v>
      </c>
      <c r="F286" s="7">
        <f>SUMIFS(Лист2!D:D,Лист2!B:B,'общая таблица'!B286,Лист2!A:A,'общая таблица'!A286)</f>
        <v>567</v>
      </c>
      <c r="G286" s="7">
        <f>SUMIFS(Лист2!E:E,Лист2!B:B,'общая таблица'!B286,Лист2!A:A,'общая таблица'!A286)</f>
        <v>493</v>
      </c>
      <c r="H286" s="18">
        <f t="shared" si="8"/>
        <v>8183706900.75</v>
      </c>
      <c r="I286" t="str">
        <f t="shared" si="9"/>
        <v>суббота</v>
      </c>
    </row>
    <row r="287" spans="1:9" ht="14.25" customHeight="1" x14ac:dyDescent="0.3">
      <c r="A287" s="8">
        <v>43954</v>
      </c>
      <c r="B287" s="9" t="s">
        <v>23</v>
      </c>
      <c r="C287" s="21">
        <v>10032</v>
      </c>
      <c r="D287" s="21">
        <v>816150</v>
      </c>
      <c r="E287" s="7">
        <f>SUMIFS(Лист2!C:C,Лист2!B:B,'общая таблица'!B287,Лист2!A:A,'общая таблица'!A287)</f>
        <v>15</v>
      </c>
      <c r="F287" s="7">
        <f>SUMIFS(Лист2!D:D,Лист2!B:B,'общая таблица'!B287,Лист2!A:A,'общая таблица'!A287)</f>
        <v>585</v>
      </c>
      <c r="G287" s="7">
        <f>SUMIFS(Лист2!E:E,Лист2!B:B,'общая таблица'!B287,Лист2!A:A,'общая таблица'!A287)</f>
        <v>502</v>
      </c>
      <c r="H287" s="18">
        <f t="shared" si="8"/>
        <v>8187616800</v>
      </c>
      <c r="I287" t="str">
        <f t="shared" si="9"/>
        <v>воскресенье</v>
      </c>
    </row>
    <row r="288" spans="1:9" ht="14.25" customHeight="1" x14ac:dyDescent="0.3">
      <c r="A288" s="5">
        <v>43955</v>
      </c>
      <c r="B288" s="6" t="s">
        <v>23</v>
      </c>
      <c r="C288" s="22">
        <v>11062.5</v>
      </c>
      <c r="D288" s="22">
        <v>906343.5</v>
      </c>
      <c r="E288" s="7">
        <f>SUMIFS(Лист2!C:C,Лист2!B:B,'общая таблица'!B288,Лист2!A:A,'общая таблица'!A288)</f>
        <v>15</v>
      </c>
      <c r="F288" s="7">
        <f>SUMIFS(Лист2!D:D,Лист2!B:B,'общая таблица'!B288,Лист2!A:A,'общая таблица'!A288)</f>
        <v>622</v>
      </c>
      <c r="G288" s="7">
        <f>SUMIFS(Лист2!E:E,Лист2!B:B,'общая таблица'!B288,Лист2!A:A,'общая таблица'!A288)</f>
        <v>538</v>
      </c>
      <c r="H288" s="18">
        <f t="shared" si="8"/>
        <v>10026424968.75</v>
      </c>
      <c r="I288" t="str">
        <f t="shared" si="9"/>
        <v>понедельник</v>
      </c>
    </row>
    <row r="289" spans="1:9" ht="14.25" customHeight="1" x14ac:dyDescent="0.3">
      <c r="A289" s="8">
        <v>43956</v>
      </c>
      <c r="B289" s="9" t="s">
        <v>23</v>
      </c>
      <c r="C289" s="21">
        <v>13941</v>
      </c>
      <c r="D289" s="21">
        <v>1145575.5</v>
      </c>
      <c r="E289" s="7">
        <f>SUMIFS(Лист2!C:C,Лист2!B:B,'общая таблица'!B289,Лист2!A:A,'общая таблица'!A289)</f>
        <v>15</v>
      </c>
      <c r="F289" s="7">
        <f>SUMIFS(Лист2!D:D,Лист2!B:B,'общая таблица'!B289,Лист2!A:A,'общая таблица'!A289)</f>
        <v>750</v>
      </c>
      <c r="G289" s="7">
        <f>SUMIFS(Лист2!E:E,Лист2!B:B,'общая таблица'!B289,Лист2!A:A,'общая таблица'!A289)</f>
        <v>658</v>
      </c>
      <c r="H289" s="18">
        <f t="shared" si="8"/>
        <v>15970468045.5</v>
      </c>
      <c r="I289" t="str">
        <f t="shared" si="9"/>
        <v>вторник</v>
      </c>
    </row>
    <row r="290" spans="1:9" ht="14.25" customHeight="1" x14ac:dyDescent="0.3">
      <c r="A290" s="5">
        <v>43957</v>
      </c>
      <c r="B290" s="6" t="s">
        <v>23</v>
      </c>
      <c r="C290" s="22">
        <v>12468</v>
      </c>
      <c r="D290" s="22">
        <v>1016566.5</v>
      </c>
      <c r="E290" s="7">
        <f>SUMIFS(Лист2!C:C,Лист2!B:B,'общая таблица'!B290,Лист2!A:A,'общая таблица'!A290)</f>
        <v>15</v>
      </c>
      <c r="F290" s="7">
        <f>SUMIFS(Лист2!D:D,Лист2!B:B,'общая таблица'!B290,Лист2!A:A,'общая таблица'!A290)</f>
        <v>701</v>
      </c>
      <c r="G290" s="7">
        <f>SUMIFS(Лист2!E:E,Лист2!B:B,'общая таблица'!B290,Лист2!A:A,'общая таблица'!A290)</f>
        <v>611</v>
      </c>
      <c r="H290" s="18">
        <f t="shared" si="8"/>
        <v>12674551122</v>
      </c>
      <c r="I290" t="str">
        <f t="shared" si="9"/>
        <v>среда</v>
      </c>
    </row>
    <row r="291" spans="1:9" ht="14.25" customHeight="1" x14ac:dyDescent="0.3">
      <c r="A291" s="15">
        <v>43958</v>
      </c>
      <c r="B291" s="17" t="s">
        <v>23</v>
      </c>
      <c r="C291" s="23">
        <v>11719.5</v>
      </c>
      <c r="D291" s="23">
        <v>965880</v>
      </c>
      <c r="E291" s="7">
        <f>SUMIFS(Лист2!C:C,Лист2!B:B,'общая таблица'!B291,Лист2!A:A,'общая таблица'!A291)</f>
        <v>15</v>
      </c>
      <c r="F291" s="7">
        <f>SUMIFS(Лист2!D:D,Лист2!B:B,'общая таблица'!B291,Лист2!A:A,'общая таблица'!A291)</f>
        <v>676</v>
      </c>
      <c r="G291" s="7">
        <f>SUMIFS(Лист2!E:E,Лист2!B:B,'общая таблица'!B291,Лист2!A:A,'общая таблица'!A291)</f>
        <v>591</v>
      </c>
      <c r="H291" s="18">
        <f t="shared" si="8"/>
        <v>11319630660</v>
      </c>
      <c r="I291" t="str">
        <f t="shared" si="9"/>
        <v>четверг</v>
      </c>
    </row>
    <row r="292" spans="1:9" ht="14.25" customHeight="1" x14ac:dyDescent="0.3">
      <c r="A292" s="14">
        <v>43959</v>
      </c>
      <c r="B292" s="16" t="s">
        <v>23</v>
      </c>
      <c r="C292" s="20">
        <v>12976.5</v>
      </c>
      <c r="D292" s="20">
        <v>1046848.5</v>
      </c>
      <c r="E292" s="7">
        <f>SUMIFS(Лист2!C:C,Лист2!B:B,'общая таблица'!B292,Лист2!A:A,'общая таблица'!A292)</f>
        <v>15</v>
      </c>
      <c r="F292" s="7">
        <f>SUMIFS(Лист2!D:D,Лист2!B:B,'общая таблица'!B292,Лист2!A:A,'общая таблица'!A292)</f>
        <v>703</v>
      </c>
      <c r="G292" s="7">
        <f>SUMIFS(Лист2!E:E,Лист2!B:B,'общая таблица'!B292,Лист2!A:A,'общая таблица'!A292)</f>
        <v>609</v>
      </c>
      <c r="H292" s="18">
        <f t="shared" si="8"/>
        <v>13584429560.25</v>
      </c>
      <c r="I292" t="str">
        <f t="shared" si="9"/>
        <v>пятница</v>
      </c>
    </row>
    <row r="293" spans="1:9" ht="14.25" customHeight="1" x14ac:dyDescent="0.3">
      <c r="A293" s="8">
        <v>43960</v>
      </c>
      <c r="B293" s="9" t="s">
        <v>23</v>
      </c>
      <c r="C293" s="21">
        <v>11745</v>
      </c>
      <c r="D293" s="21">
        <v>955801.5</v>
      </c>
      <c r="E293" s="7">
        <f>SUMIFS(Лист2!C:C,Лист2!B:B,'общая таблица'!B293,Лист2!A:A,'общая таблица'!A293)</f>
        <v>15</v>
      </c>
      <c r="F293" s="7">
        <f>SUMIFS(Лист2!D:D,Лист2!B:B,'общая таблица'!B293,Лист2!A:A,'общая таблица'!A293)</f>
        <v>654</v>
      </c>
      <c r="G293" s="7">
        <f>SUMIFS(Лист2!E:E,Лист2!B:B,'общая таблица'!B293,Лист2!A:A,'общая таблица'!A293)</f>
        <v>570</v>
      </c>
      <c r="H293" s="18">
        <f t="shared" si="8"/>
        <v>11225888617.5</v>
      </c>
      <c r="I293" t="str">
        <f t="shared" si="9"/>
        <v>суббота</v>
      </c>
    </row>
    <row r="294" spans="1:9" ht="14.25" customHeight="1" x14ac:dyDescent="0.3">
      <c r="A294" s="5">
        <v>43961</v>
      </c>
      <c r="B294" s="6" t="s">
        <v>23</v>
      </c>
      <c r="C294" s="22">
        <v>14566.5</v>
      </c>
      <c r="D294" s="22">
        <v>1216557</v>
      </c>
      <c r="E294" s="7">
        <f>SUMIFS(Лист2!C:C,Лист2!B:B,'общая таблица'!B294,Лист2!A:A,'общая таблица'!A294)</f>
        <v>15</v>
      </c>
      <c r="F294" s="7">
        <f>SUMIFS(Лист2!D:D,Лист2!B:B,'общая таблица'!B294,Лист2!A:A,'общая таблица'!A294)</f>
        <v>792</v>
      </c>
      <c r="G294" s="7">
        <f>SUMIFS(Лист2!E:E,Лист2!B:B,'общая таблица'!B294,Лист2!A:A,'общая таблица'!A294)</f>
        <v>695</v>
      </c>
      <c r="H294" s="18">
        <f t="shared" si="8"/>
        <v>17720977540.5</v>
      </c>
      <c r="I294" t="str">
        <f t="shared" si="9"/>
        <v>воскресенье</v>
      </c>
    </row>
    <row r="295" spans="1:9" ht="14.25" customHeight="1" x14ac:dyDescent="0.3">
      <c r="A295" s="15">
        <v>43962</v>
      </c>
      <c r="B295" s="17" t="s">
        <v>23</v>
      </c>
      <c r="C295" s="23">
        <v>10941</v>
      </c>
      <c r="D295" s="23">
        <v>880356</v>
      </c>
      <c r="E295" s="7">
        <f>SUMIFS(Лист2!C:C,Лист2!B:B,'общая таблица'!B295,Лист2!A:A,'общая таблица'!A295)</f>
        <v>15</v>
      </c>
      <c r="F295" s="7">
        <f>SUMIFS(Лист2!D:D,Лист2!B:B,'общая таблица'!B295,Лист2!A:A,'общая таблица'!A295)</f>
        <v>654</v>
      </c>
      <c r="G295" s="7">
        <f>SUMIFS(Лист2!E:E,Лист2!B:B,'общая таблица'!B295,Лист2!A:A,'общая таблица'!A295)</f>
        <v>564</v>
      </c>
      <c r="H295" s="18">
        <f t="shared" si="8"/>
        <v>9631974996</v>
      </c>
      <c r="I295" t="str">
        <f t="shared" si="9"/>
        <v>понедельник</v>
      </c>
    </row>
    <row r="296" spans="1:9" ht="14.25" customHeight="1" x14ac:dyDescent="0.3">
      <c r="A296" s="5">
        <v>43963</v>
      </c>
      <c r="B296" s="6" t="s">
        <v>23</v>
      </c>
      <c r="C296" s="22">
        <v>13443</v>
      </c>
      <c r="D296" s="22">
        <v>1092277.5</v>
      </c>
      <c r="E296" s="7">
        <f>SUMIFS(Лист2!C:C,Лист2!B:B,'общая таблица'!B296,Лист2!A:A,'общая таблица'!A296)</f>
        <v>15</v>
      </c>
      <c r="F296" s="7">
        <f>SUMIFS(Лист2!D:D,Лист2!B:B,'общая таблица'!B296,Лист2!A:A,'общая таблица'!A296)</f>
        <v>750</v>
      </c>
      <c r="G296" s="7">
        <f>SUMIFS(Лист2!E:E,Лист2!B:B,'общая таблица'!B296,Лист2!A:A,'общая таблица'!A296)</f>
        <v>659</v>
      </c>
      <c r="H296" s="18">
        <f t="shared" si="8"/>
        <v>14683486432.5</v>
      </c>
      <c r="I296" t="str">
        <f t="shared" si="9"/>
        <v>вторник</v>
      </c>
    </row>
    <row r="297" spans="1:9" ht="14.25" customHeight="1" x14ac:dyDescent="0.3">
      <c r="A297" s="15">
        <v>43964</v>
      </c>
      <c r="B297" s="17" t="s">
        <v>23</v>
      </c>
      <c r="C297" s="23">
        <v>14643</v>
      </c>
      <c r="D297" s="23">
        <v>1172691</v>
      </c>
      <c r="E297" s="7">
        <f>SUMIFS(Лист2!C:C,Лист2!B:B,'общая таблица'!B297,Лист2!A:A,'общая таблица'!A297)</f>
        <v>15</v>
      </c>
      <c r="F297" s="7">
        <f>SUMIFS(Лист2!D:D,Лист2!B:B,'общая таблица'!B297,Лист2!A:A,'общая таблица'!A297)</f>
        <v>854</v>
      </c>
      <c r="G297" s="7">
        <f>SUMIFS(Лист2!E:E,Лист2!B:B,'общая таблица'!B297,Лист2!A:A,'общая таблица'!A297)</f>
        <v>756</v>
      </c>
      <c r="H297" s="18">
        <f t="shared" si="8"/>
        <v>17171714313</v>
      </c>
      <c r="I297" t="str">
        <f t="shared" si="9"/>
        <v>среда</v>
      </c>
    </row>
    <row r="298" spans="1:9" ht="14.25" customHeight="1" x14ac:dyDescent="0.3">
      <c r="A298" s="5">
        <v>43965</v>
      </c>
      <c r="B298" s="6" t="s">
        <v>23</v>
      </c>
      <c r="C298" s="22">
        <v>13810.5</v>
      </c>
      <c r="D298" s="22">
        <v>1131676.5</v>
      </c>
      <c r="E298" s="7">
        <f>SUMIFS(Лист2!C:C,Лист2!B:B,'общая таблица'!B298,Лист2!A:A,'общая таблица'!A298)</f>
        <v>16</v>
      </c>
      <c r="F298" s="7">
        <f>SUMIFS(Лист2!D:D,Лист2!B:B,'общая таблица'!B298,Лист2!A:A,'общая таблица'!A298)</f>
        <v>834</v>
      </c>
      <c r="G298" s="7">
        <f>SUMIFS(Лист2!E:E,Лист2!B:B,'общая таблица'!B298,Лист2!A:A,'общая таблица'!A298)</f>
        <v>735</v>
      </c>
      <c r="H298" s="18">
        <f t="shared" si="8"/>
        <v>15629018303.25</v>
      </c>
      <c r="I298" t="str">
        <f t="shared" si="9"/>
        <v>четверг</v>
      </c>
    </row>
    <row r="299" spans="1:9" ht="14.25" customHeight="1" x14ac:dyDescent="0.3">
      <c r="A299" s="8">
        <v>43966</v>
      </c>
      <c r="B299" s="9" t="s">
        <v>23</v>
      </c>
      <c r="C299" s="21">
        <v>13752</v>
      </c>
      <c r="D299" s="21">
        <v>1091040</v>
      </c>
      <c r="E299" s="7">
        <f>SUMIFS(Лист2!C:C,Лист2!B:B,'общая таблица'!B299,Лист2!A:A,'общая таблица'!A299)</f>
        <v>16</v>
      </c>
      <c r="F299" s="7">
        <f>SUMIFS(Лист2!D:D,Лист2!B:B,'общая таблица'!B299,Лист2!A:A,'общая таблица'!A299)</f>
        <v>817</v>
      </c>
      <c r="G299" s="7">
        <f>SUMIFS(Лист2!E:E,Лист2!B:B,'общая таблица'!B299,Лист2!A:A,'общая таблица'!A299)</f>
        <v>718</v>
      </c>
      <c r="H299" s="18">
        <f t="shared" si="8"/>
        <v>15003982080</v>
      </c>
      <c r="I299" t="str">
        <f t="shared" si="9"/>
        <v>пятница</v>
      </c>
    </row>
    <row r="300" spans="1:9" ht="14.25" customHeight="1" x14ac:dyDescent="0.3">
      <c r="A300" s="5">
        <v>43967</v>
      </c>
      <c r="B300" s="6" t="s">
        <v>23</v>
      </c>
      <c r="C300" s="22">
        <v>16368</v>
      </c>
      <c r="D300" s="22">
        <v>1316350.5</v>
      </c>
      <c r="E300" s="7">
        <f>SUMIFS(Лист2!C:C,Лист2!B:B,'общая таблица'!B300,Лист2!A:A,'общая таблица'!A300)</f>
        <v>16</v>
      </c>
      <c r="F300" s="7">
        <f>SUMIFS(Лист2!D:D,Лист2!B:B,'общая таблица'!B300,Лист2!A:A,'общая таблица'!A300)</f>
        <v>920</v>
      </c>
      <c r="G300" s="7">
        <f>SUMIFS(Лист2!E:E,Лист2!B:B,'общая таблица'!B300,Лист2!A:A,'общая таблица'!A300)</f>
        <v>818</v>
      </c>
      <c r="H300" s="18">
        <f t="shared" si="8"/>
        <v>21546024984</v>
      </c>
      <c r="I300" t="str">
        <f t="shared" si="9"/>
        <v>суббота</v>
      </c>
    </row>
    <row r="301" spans="1:9" ht="14.25" customHeight="1" x14ac:dyDescent="0.3">
      <c r="A301" s="15">
        <v>43968</v>
      </c>
      <c r="B301" s="17" t="s">
        <v>23</v>
      </c>
      <c r="C301" s="23">
        <v>13440</v>
      </c>
      <c r="D301" s="23">
        <v>1157529</v>
      </c>
      <c r="E301" s="7">
        <f>SUMIFS(Лист2!C:C,Лист2!B:B,'общая таблица'!B301,Лист2!A:A,'общая таблица'!A301)</f>
        <v>16</v>
      </c>
      <c r="F301" s="7">
        <f>SUMIFS(Лист2!D:D,Лист2!B:B,'общая таблица'!B301,Лист2!A:A,'общая таблица'!A301)</f>
        <v>859</v>
      </c>
      <c r="G301" s="7">
        <f>SUMIFS(Лист2!E:E,Лист2!B:B,'общая таблица'!B301,Лист2!A:A,'общая таблица'!A301)</f>
        <v>746</v>
      </c>
      <c r="H301" s="18">
        <f t="shared" si="8"/>
        <v>15557189760</v>
      </c>
      <c r="I301" t="str">
        <f t="shared" si="9"/>
        <v>воскресенье</v>
      </c>
    </row>
    <row r="302" spans="1:9" ht="14.25" customHeight="1" x14ac:dyDescent="0.3">
      <c r="A302" s="14">
        <v>43969</v>
      </c>
      <c r="B302" s="16" t="s">
        <v>23</v>
      </c>
      <c r="C302" s="20">
        <v>14497.5</v>
      </c>
      <c r="D302" s="20">
        <v>1230711</v>
      </c>
      <c r="E302" s="7">
        <f>SUMIFS(Лист2!C:C,Лист2!B:B,'общая таблица'!B302,Лист2!A:A,'общая таблица'!A302)</f>
        <v>16</v>
      </c>
      <c r="F302" s="7">
        <f>SUMIFS(Лист2!D:D,Лист2!B:B,'общая таблица'!B302,Лист2!A:A,'общая таблица'!A302)</f>
        <v>864</v>
      </c>
      <c r="G302" s="7">
        <f>SUMIFS(Лист2!E:E,Лист2!B:B,'общая таблица'!B302,Лист2!A:A,'общая таблица'!A302)</f>
        <v>765</v>
      </c>
      <c r="H302" s="18">
        <f t="shared" si="8"/>
        <v>17842232722.5</v>
      </c>
      <c r="I302" t="str">
        <f t="shared" si="9"/>
        <v>понедельник</v>
      </c>
    </row>
    <row r="303" spans="1:9" ht="14.25" customHeight="1" x14ac:dyDescent="0.3">
      <c r="A303" s="8">
        <v>43970</v>
      </c>
      <c r="B303" s="9" t="s">
        <v>23</v>
      </c>
      <c r="C303" s="21">
        <v>14427</v>
      </c>
      <c r="D303" s="21">
        <v>1126810.5</v>
      </c>
      <c r="E303" s="7">
        <f>SUMIFS(Лист2!C:C,Лист2!B:B,'общая таблица'!B303,Лист2!A:A,'общая таблица'!A303)</f>
        <v>17</v>
      </c>
      <c r="F303" s="7">
        <f>SUMIFS(Лист2!D:D,Лист2!B:B,'общая таблица'!B303,Лист2!A:A,'общая таблица'!A303)</f>
        <v>857</v>
      </c>
      <c r="G303" s="7">
        <f>SUMIFS(Лист2!E:E,Лист2!B:B,'общая таблица'!B303,Лист2!A:A,'общая таблица'!A303)</f>
        <v>757</v>
      </c>
      <c r="H303" s="18">
        <f t="shared" si="8"/>
        <v>16256495083.5</v>
      </c>
      <c r="I303" t="str">
        <f t="shared" si="9"/>
        <v>вторник</v>
      </c>
    </row>
    <row r="304" spans="1:9" ht="14.25" customHeight="1" x14ac:dyDescent="0.3">
      <c r="A304" s="5">
        <v>43971</v>
      </c>
      <c r="B304" s="6" t="s">
        <v>23</v>
      </c>
      <c r="C304" s="22">
        <v>14928</v>
      </c>
      <c r="D304" s="22">
        <v>1217749.5</v>
      </c>
      <c r="E304" s="7">
        <f>SUMIFS(Лист2!C:C,Лист2!B:B,'общая таблица'!B304,Лист2!A:A,'общая таблица'!A304)</f>
        <v>17</v>
      </c>
      <c r="F304" s="7">
        <f>SUMIFS(Лист2!D:D,Лист2!B:B,'общая таблица'!B304,Лист2!A:A,'общая таблица'!A304)</f>
        <v>890</v>
      </c>
      <c r="G304" s="7">
        <f>SUMIFS(Лист2!E:E,Лист2!B:B,'общая таблица'!B304,Лист2!A:A,'общая таблица'!A304)</f>
        <v>794</v>
      </c>
      <c r="H304" s="18">
        <f t="shared" si="8"/>
        <v>18178564536</v>
      </c>
      <c r="I304" t="str">
        <f t="shared" si="9"/>
        <v>среда</v>
      </c>
    </row>
    <row r="305" spans="1:9" ht="14.25" customHeight="1" x14ac:dyDescent="0.3">
      <c r="A305" s="8">
        <v>43972</v>
      </c>
      <c r="B305" s="9" t="s">
        <v>23</v>
      </c>
      <c r="C305" s="21">
        <v>14182.5</v>
      </c>
      <c r="D305" s="21">
        <v>1172574</v>
      </c>
      <c r="E305" s="7">
        <f>SUMIFS(Лист2!C:C,Лист2!B:B,'общая таблица'!B305,Лист2!A:A,'общая таблица'!A305)</f>
        <v>18</v>
      </c>
      <c r="F305" s="7">
        <f>SUMIFS(Лист2!D:D,Лист2!B:B,'общая таблица'!B305,Лист2!A:A,'общая таблица'!A305)</f>
        <v>888</v>
      </c>
      <c r="G305" s="7">
        <f>SUMIFS(Лист2!E:E,Лист2!B:B,'общая таблица'!B305,Лист2!A:A,'общая таблица'!A305)</f>
        <v>786</v>
      </c>
      <c r="H305" s="18">
        <f t="shared" si="8"/>
        <v>16630030755</v>
      </c>
      <c r="I305" t="str">
        <f t="shared" si="9"/>
        <v>четверг</v>
      </c>
    </row>
    <row r="306" spans="1:9" ht="14.25" customHeight="1" x14ac:dyDescent="0.3">
      <c r="A306" s="5">
        <v>43973</v>
      </c>
      <c r="B306" s="6" t="s">
        <v>23</v>
      </c>
      <c r="C306" s="22">
        <v>17008.5</v>
      </c>
      <c r="D306" s="22">
        <v>1398771</v>
      </c>
      <c r="E306" s="7">
        <f>SUMIFS(Лист2!C:C,Лист2!B:B,'общая таблица'!B306,Лист2!A:A,'общая таблица'!A306)</f>
        <v>18</v>
      </c>
      <c r="F306" s="7">
        <f>SUMIFS(Лист2!D:D,Лист2!B:B,'общая таблица'!B306,Лист2!A:A,'общая таблица'!A306)</f>
        <v>985</v>
      </c>
      <c r="G306" s="7">
        <f>SUMIFS(Лист2!E:E,Лист2!B:B,'общая таблица'!B306,Лист2!A:A,'общая таблица'!A306)</f>
        <v>861</v>
      </c>
      <c r="H306" s="18">
        <f t="shared" si="8"/>
        <v>23790996553.5</v>
      </c>
      <c r="I306" t="str">
        <f t="shared" si="9"/>
        <v>пятница</v>
      </c>
    </row>
    <row r="307" spans="1:9" ht="14.25" customHeight="1" x14ac:dyDescent="0.3">
      <c r="A307" s="8">
        <v>43974</v>
      </c>
      <c r="B307" s="9" t="s">
        <v>23</v>
      </c>
      <c r="C307" s="21">
        <v>17943</v>
      </c>
      <c r="D307" s="21">
        <v>1457391</v>
      </c>
      <c r="E307" s="7">
        <f>SUMIFS(Лист2!C:C,Лист2!B:B,'общая таблица'!B307,Лист2!A:A,'общая таблица'!A307)</f>
        <v>18</v>
      </c>
      <c r="F307" s="7">
        <f>SUMIFS(Лист2!D:D,Лист2!B:B,'общая таблица'!B307,Лист2!A:A,'общая таблица'!A307)</f>
        <v>1031</v>
      </c>
      <c r="G307" s="7">
        <f>SUMIFS(Лист2!E:E,Лист2!B:B,'общая таблица'!B307,Лист2!A:A,'общая таблица'!A307)</f>
        <v>918</v>
      </c>
      <c r="H307" s="18">
        <f t="shared" si="8"/>
        <v>26149966713</v>
      </c>
      <c r="I307" t="str">
        <f t="shared" si="9"/>
        <v>суббота</v>
      </c>
    </row>
    <row r="308" spans="1:9" ht="14.25" customHeight="1" x14ac:dyDescent="0.3">
      <c r="A308" s="14">
        <v>43975</v>
      </c>
      <c r="B308" s="16" t="s">
        <v>23</v>
      </c>
      <c r="C308" s="20">
        <v>17197.5</v>
      </c>
      <c r="D308" s="20">
        <v>1386262.5</v>
      </c>
      <c r="E308" s="7">
        <f>SUMIFS(Лист2!C:C,Лист2!B:B,'общая таблица'!B308,Лист2!A:A,'общая таблица'!A308)</f>
        <v>18</v>
      </c>
      <c r="F308" s="7">
        <f>SUMIFS(Лист2!D:D,Лист2!B:B,'общая таблица'!B308,Лист2!A:A,'общая таблица'!A308)</f>
        <v>1006</v>
      </c>
      <c r="G308" s="7">
        <f>SUMIFS(Лист2!E:E,Лист2!B:B,'общая таблица'!B308,Лист2!A:A,'общая таблица'!A308)</f>
        <v>904</v>
      </c>
      <c r="H308" s="18">
        <f t="shared" si="8"/>
        <v>23840249343.75</v>
      </c>
      <c r="I308" t="str">
        <f t="shared" si="9"/>
        <v>воскресенье</v>
      </c>
    </row>
    <row r="309" spans="1:9" ht="14.25" customHeight="1" x14ac:dyDescent="0.3">
      <c r="A309" s="15">
        <v>43976</v>
      </c>
      <c r="B309" s="17" t="s">
        <v>23</v>
      </c>
      <c r="C309" s="23">
        <v>15807</v>
      </c>
      <c r="D309" s="23">
        <v>1326705</v>
      </c>
      <c r="E309" s="7">
        <f>SUMIFS(Лист2!C:C,Лист2!B:B,'общая таблица'!B309,Лист2!A:A,'общая таблица'!A309)</f>
        <v>18</v>
      </c>
      <c r="F309" s="7">
        <f>SUMIFS(Лист2!D:D,Лист2!B:B,'общая таблица'!B309,Лист2!A:A,'общая таблица'!A309)</f>
        <v>989</v>
      </c>
      <c r="G309" s="7">
        <f>SUMIFS(Лист2!E:E,Лист2!B:B,'общая таблица'!B309,Лист2!A:A,'общая таблица'!A309)</f>
        <v>887</v>
      </c>
      <c r="H309" s="18">
        <f t="shared" si="8"/>
        <v>20971225935</v>
      </c>
      <c r="I309" t="str">
        <f t="shared" si="9"/>
        <v>понедельник</v>
      </c>
    </row>
    <row r="310" spans="1:9" ht="14.25" customHeight="1" x14ac:dyDescent="0.3">
      <c r="A310" s="5">
        <v>43977</v>
      </c>
      <c r="B310" s="6" t="s">
        <v>23</v>
      </c>
      <c r="C310" s="22">
        <v>14419.5</v>
      </c>
      <c r="D310" s="22">
        <v>1210456.5</v>
      </c>
      <c r="E310" s="7">
        <f>SUMIFS(Лист2!C:C,Лист2!B:B,'общая таблица'!B310,Лист2!A:A,'общая таблица'!A310)</f>
        <v>18</v>
      </c>
      <c r="F310" s="7">
        <f>SUMIFS(Лист2!D:D,Лист2!B:B,'общая таблица'!B310,Лист2!A:A,'общая таблица'!A310)</f>
        <v>914</v>
      </c>
      <c r="G310" s="7">
        <f>SUMIFS(Лист2!E:E,Лист2!B:B,'общая таблица'!B310,Лист2!A:A,'общая таблица'!A310)</f>
        <v>804</v>
      </c>
      <c r="H310" s="18">
        <f t="shared" si="8"/>
        <v>17454177501.75</v>
      </c>
      <c r="I310" t="str">
        <f t="shared" si="9"/>
        <v>вторник</v>
      </c>
    </row>
    <row r="311" spans="1:9" ht="14.25" customHeight="1" x14ac:dyDescent="0.3">
      <c r="A311" s="15">
        <v>43978</v>
      </c>
      <c r="B311" s="17" t="s">
        <v>23</v>
      </c>
      <c r="C311" s="23">
        <v>15276</v>
      </c>
      <c r="D311" s="23">
        <v>1350199.5</v>
      </c>
      <c r="E311" s="7">
        <f>SUMIFS(Лист2!C:C,Лист2!B:B,'общая таблица'!B311,Лист2!A:A,'общая таблица'!A311)</f>
        <v>18</v>
      </c>
      <c r="F311" s="7">
        <f>SUMIFS(Лист2!D:D,Лист2!B:B,'общая таблица'!B311,Лист2!A:A,'общая таблица'!A311)</f>
        <v>962</v>
      </c>
      <c r="G311" s="7">
        <f>SUMIFS(Лист2!E:E,Лист2!B:B,'общая таблица'!B311,Лист2!A:A,'общая таблица'!A311)</f>
        <v>859</v>
      </c>
      <c r="H311" s="18">
        <f t="shared" si="8"/>
        <v>20625647562</v>
      </c>
      <c r="I311" t="str">
        <f t="shared" si="9"/>
        <v>среда</v>
      </c>
    </row>
    <row r="312" spans="1:9" ht="14.25" customHeight="1" x14ac:dyDescent="0.3">
      <c r="A312" s="14">
        <v>43979</v>
      </c>
      <c r="B312" s="16" t="s">
        <v>23</v>
      </c>
      <c r="C312" s="20">
        <v>15678</v>
      </c>
      <c r="D312" s="20">
        <v>1387443</v>
      </c>
      <c r="E312" s="7">
        <f>SUMIFS(Лист2!C:C,Лист2!B:B,'общая таблица'!B312,Лист2!A:A,'общая таблица'!A312)</f>
        <v>18</v>
      </c>
      <c r="F312" s="7">
        <f>SUMIFS(Лист2!D:D,Лист2!B:B,'общая таблица'!B312,Лист2!A:A,'общая таблица'!A312)</f>
        <v>1020</v>
      </c>
      <c r="G312" s="7">
        <f>SUMIFS(Лист2!E:E,Лист2!B:B,'общая таблица'!B312,Лист2!A:A,'общая таблица'!A312)</f>
        <v>911</v>
      </c>
      <c r="H312" s="18">
        <f t="shared" si="8"/>
        <v>21752331354</v>
      </c>
      <c r="I312" t="str">
        <f t="shared" si="9"/>
        <v>четверг</v>
      </c>
    </row>
    <row r="313" spans="1:9" ht="14.25" customHeight="1" x14ac:dyDescent="0.3">
      <c r="A313" s="15">
        <v>43980</v>
      </c>
      <c r="B313" s="17" t="s">
        <v>23</v>
      </c>
      <c r="C313" s="23">
        <v>16878</v>
      </c>
      <c r="D313" s="23">
        <v>1438255.5</v>
      </c>
      <c r="E313" s="7">
        <f>SUMIFS(Лист2!C:C,Лист2!B:B,'общая таблица'!B313,Лист2!A:A,'общая таблица'!A313)</f>
        <v>18</v>
      </c>
      <c r="F313" s="7">
        <f>SUMIFS(Лист2!D:D,Лист2!B:B,'общая таблица'!B313,Лист2!A:A,'общая таблица'!A313)</f>
        <v>1014</v>
      </c>
      <c r="G313" s="7">
        <f>SUMIFS(Лист2!E:E,Лист2!B:B,'общая таблица'!B313,Лист2!A:A,'общая таблица'!A313)</f>
        <v>893</v>
      </c>
      <c r="H313" s="18">
        <f t="shared" si="8"/>
        <v>24274876329</v>
      </c>
      <c r="I313" t="str">
        <f t="shared" si="9"/>
        <v>пятница</v>
      </c>
    </row>
    <row r="314" spans="1:9" ht="14.25" customHeight="1" x14ac:dyDescent="0.3">
      <c r="A314" s="5">
        <v>43981</v>
      </c>
      <c r="B314" s="6" t="s">
        <v>23</v>
      </c>
      <c r="C314" s="22">
        <v>20688</v>
      </c>
      <c r="D314" s="22">
        <v>1773154.5</v>
      </c>
      <c r="E314" s="7">
        <f>SUMIFS(Лист2!C:C,Лист2!B:B,'общая таблица'!B314,Лист2!A:A,'общая таблица'!A314)</f>
        <v>18</v>
      </c>
      <c r="F314" s="7">
        <f>SUMIFS(Лист2!D:D,Лист2!B:B,'общая таблица'!B314,Лист2!A:A,'общая таблица'!A314)</f>
        <v>1216</v>
      </c>
      <c r="G314" s="7">
        <f>SUMIFS(Лист2!E:E,Лист2!B:B,'общая таблица'!B314,Лист2!A:A,'общая таблица'!A314)</f>
        <v>1101</v>
      </c>
      <c r="H314" s="18">
        <f t="shared" si="8"/>
        <v>36683020296</v>
      </c>
      <c r="I314" t="str">
        <f t="shared" si="9"/>
        <v>суббота</v>
      </c>
    </row>
    <row r="315" spans="1:9" ht="14.25" customHeight="1" x14ac:dyDescent="0.3">
      <c r="A315" s="8">
        <v>43982</v>
      </c>
      <c r="B315" s="9" t="s">
        <v>23</v>
      </c>
      <c r="C315" s="21">
        <v>16143</v>
      </c>
      <c r="D315" s="21">
        <v>1423410</v>
      </c>
      <c r="E315" s="7">
        <f>SUMIFS(Лист2!C:C,Лист2!B:B,'общая таблица'!B315,Лист2!A:A,'общая таблица'!A315)</f>
        <v>18</v>
      </c>
      <c r="F315" s="7">
        <f>SUMIFS(Лист2!D:D,Лист2!B:B,'общая таблица'!B315,Лист2!A:A,'общая таблица'!A315)</f>
        <v>1029</v>
      </c>
      <c r="G315" s="7">
        <f>SUMIFS(Лист2!E:E,Лист2!B:B,'общая таблица'!B315,Лист2!A:A,'общая таблица'!A315)</f>
        <v>925</v>
      </c>
      <c r="H315" s="18">
        <f t="shared" si="8"/>
        <v>22978107630</v>
      </c>
      <c r="I315" t="str">
        <f t="shared" si="9"/>
        <v>воскресенье</v>
      </c>
    </row>
    <row r="316" spans="1:9" ht="14.25" customHeight="1" x14ac:dyDescent="0.3">
      <c r="A316" s="14">
        <v>43983</v>
      </c>
      <c r="B316" s="16" t="s">
        <v>23</v>
      </c>
      <c r="C316" s="20">
        <v>14238</v>
      </c>
      <c r="D316" s="20">
        <v>1293219</v>
      </c>
      <c r="E316" s="7">
        <f>SUMIFS(Лист2!C:C,Лист2!B:B,'общая таблица'!B316,Лист2!A:A,'общая таблица'!A316)</f>
        <v>18</v>
      </c>
      <c r="F316" s="7">
        <f>SUMIFS(Лист2!D:D,Лист2!B:B,'общая таблица'!B316,Лист2!A:A,'общая таблица'!A316)</f>
        <v>923</v>
      </c>
      <c r="G316" s="7">
        <f>SUMIFS(Лист2!E:E,Лист2!B:B,'общая таблица'!B316,Лист2!A:A,'общая таблица'!A316)</f>
        <v>824</v>
      </c>
      <c r="H316" s="18">
        <f t="shared" si="8"/>
        <v>18412852122</v>
      </c>
      <c r="I316" t="str">
        <f t="shared" si="9"/>
        <v>понедельник</v>
      </c>
    </row>
    <row r="317" spans="1:9" ht="14.25" customHeight="1" x14ac:dyDescent="0.3">
      <c r="A317" s="15">
        <v>43949</v>
      </c>
      <c r="B317" s="17" t="s">
        <v>18</v>
      </c>
      <c r="C317" s="23">
        <v>13303.5</v>
      </c>
      <c r="D317" s="23">
        <v>1102887</v>
      </c>
      <c r="E317" s="7">
        <f>SUMIFS(Лист2!C:C,Лист2!B:B,'общая таблица'!B317,Лист2!A:A,'общая таблица'!A317)</f>
        <v>15</v>
      </c>
      <c r="F317" s="7">
        <f>SUMIFS(Лист2!D:D,Лист2!B:B,'общая таблица'!B317,Лист2!A:A,'общая таблица'!A317)</f>
        <v>780</v>
      </c>
      <c r="G317" s="7">
        <f>SUMIFS(Лист2!E:E,Лист2!B:B,'общая таблица'!B317,Лист2!A:A,'общая таблица'!A317)</f>
        <v>690</v>
      </c>
      <c r="H317" s="18">
        <f t="shared" si="8"/>
        <v>14672257204.5</v>
      </c>
      <c r="I317" t="str">
        <f t="shared" si="9"/>
        <v>вторник</v>
      </c>
    </row>
    <row r="318" spans="1:9" ht="14.25" customHeight="1" x14ac:dyDescent="0.3">
      <c r="A318" s="5">
        <v>43950</v>
      </c>
      <c r="B318" s="6" t="s">
        <v>18</v>
      </c>
      <c r="C318" s="22">
        <v>13014</v>
      </c>
      <c r="D318" s="22">
        <v>1115992.5</v>
      </c>
      <c r="E318" s="7">
        <f>SUMIFS(Лист2!C:C,Лист2!B:B,'общая таблица'!B318,Лист2!A:A,'общая таблица'!A318)</f>
        <v>15</v>
      </c>
      <c r="F318" s="7">
        <f>SUMIFS(Лист2!D:D,Лист2!B:B,'общая таблица'!B318,Лист2!A:A,'общая таблица'!A318)</f>
        <v>786</v>
      </c>
      <c r="G318" s="7">
        <f>SUMIFS(Лист2!E:E,Лист2!B:B,'общая таблица'!B318,Лист2!A:A,'общая таблица'!A318)</f>
        <v>695</v>
      </c>
      <c r="H318" s="18">
        <f t="shared" si="8"/>
        <v>14523526395</v>
      </c>
      <c r="I318" t="str">
        <f t="shared" si="9"/>
        <v>среда</v>
      </c>
    </row>
    <row r="319" spans="1:9" ht="14.25" customHeight="1" x14ac:dyDescent="0.3">
      <c r="A319" s="15">
        <v>43951</v>
      </c>
      <c r="B319" s="17" t="s">
        <v>18</v>
      </c>
      <c r="C319" s="23">
        <v>12753</v>
      </c>
      <c r="D319" s="23">
        <v>1103068.5</v>
      </c>
      <c r="E319" s="7">
        <f>SUMIFS(Лист2!C:C,Лист2!B:B,'общая таблица'!B319,Лист2!A:A,'общая таблица'!A319)</f>
        <v>15</v>
      </c>
      <c r="F319" s="7">
        <f>SUMIFS(Лист2!D:D,Лист2!B:B,'общая таблица'!B319,Лист2!A:A,'общая таблица'!A319)</f>
        <v>791</v>
      </c>
      <c r="G319" s="7">
        <f>SUMIFS(Лист2!E:E,Лист2!B:B,'общая таблица'!B319,Лист2!A:A,'общая таблица'!A319)</f>
        <v>691</v>
      </c>
      <c r="H319" s="18">
        <f t="shared" si="8"/>
        <v>14067432580.5</v>
      </c>
      <c r="I319" t="str">
        <f t="shared" si="9"/>
        <v>четверг</v>
      </c>
    </row>
    <row r="320" spans="1:9" ht="14.25" customHeight="1" x14ac:dyDescent="0.3">
      <c r="A320" s="14">
        <v>43952</v>
      </c>
      <c r="B320" s="16" t="s">
        <v>18</v>
      </c>
      <c r="C320" s="20">
        <v>17113.5</v>
      </c>
      <c r="D320" s="20">
        <v>1465842</v>
      </c>
      <c r="E320" s="7">
        <f>SUMIFS(Лист2!C:C,Лист2!B:B,'общая таблица'!B320,Лист2!A:A,'общая таблица'!A320)</f>
        <v>15</v>
      </c>
      <c r="F320" s="7">
        <f>SUMIFS(Лист2!D:D,Лист2!B:B,'общая таблица'!B320,Лист2!A:A,'общая таблица'!A320)</f>
        <v>996</v>
      </c>
      <c r="G320" s="7">
        <f>SUMIFS(Лист2!E:E,Лист2!B:B,'общая таблица'!B320,Лист2!A:A,'общая таблица'!A320)</f>
        <v>888</v>
      </c>
      <c r="H320" s="18">
        <f t="shared" si="8"/>
        <v>25085687067</v>
      </c>
      <c r="I320" t="str">
        <f t="shared" si="9"/>
        <v>пятница</v>
      </c>
    </row>
    <row r="321" spans="1:9" ht="14.25" customHeight="1" x14ac:dyDescent="0.3">
      <c r="A321" s="8">
        <v>43953</v>
      </c>
      <c r="B321" s="9" t="s">
        <v>18</v>
      </c>
      <c r="C321" s="21">
        <v>12313.5</v>
      </c>
      <c r="D321" s="21">
        <v>1053220.5</v>
      </c>
      <c r="E321" s="7">
        <f>SUMIFS(Лист2!C:C,Лист2!B:B,'общая таблица'!B321,Лист2!A:A,'общая таблица'!A321)</f>
        <v>15</v>
      </c>
      <c r="F321" s="7">
        <f>SUMIFS(Лист2!D:D,Лист2!B:B,'общая таблица'!B321,Лист2!A:A,'общая таблица'!A321)</f>
        <v>751</v>
      </c>
      <c r="G321" s="7">
        <f>SUMIFS(Лист2!E:E,Лист2!B:B,'общая таблица'!B321,Лист2!A:A,'общая таблица'!A321)</f>
        <v>651</v>
      </c>
      <c r="H321" s="18">
        <f t="shared" si="8"/>
        <v>12968830626.75</v>
      </c>
      <c r="I321" t="str">
        <f t="shared" si="9"/>
        <v>суббота</v>
      </c>
    </row>
    <row r="322" spans="1:9" ht="14.25" customHeight="1" x14ac:dyDescent="0.3">
      <c r="A322" s="5">
        <v>43954</v>
      </c>
      <c r="B322" s="6" t="s">
        <v>18</v>
      </c>
      <c r="C322" s="22">
        <v>12924</v>
      </c>
      <c r="D322" s="22">
        <v>1120009.5</v>
      </c>
      <c r="E322" s="7">
        <f>SUMIFS(Лист2!C:C,Лист2!B:B,'общая таблица'!B322,Лист2!A:A,'общая таблица'!A322)</f>
        <v>15</v>
      </c>
      <c r="F322" s="7">
        <f>SUMIFS(Лист2!D:D,Лист2!B:B,'общая таблица'!B322,Лист2!A:A,'общая таблица'!A322)</f>
        <v>784</v>
      </c>
      <c r="G322" s="7">
        <f>SUMIFS(Лист2!E:E,Лист2!B:B,'общая таблица'!B322,Лист2!A:A,'общая таблица'!A322)</f>
        <v>696</v>
      </c>
      <c r="H322" s="18">
        <f t="shared" si="8"/>
        <v>14475002778</v>
      </c>
      <c r="I322" t="str">
        <f t="shared" si="9"/>
        <v>воскресенье</v>
      </c>
    </row>
    <row r="323" spans="1:9" ht="14.25" customHeight="1" x14ac:dyDescent="0.3">
      <c r="A323" s="8">
        <v>43955</v>
      </c>
      <c r="B323" s="9" t="s">
        <v>18</v>
      </c>
      <c r="C323" s="21">
        <v>12301.5</v>
      </c>
      <c r="D323" s="21">
        <v>1085211</v>
      </c>
      <c r="E323" s="7">
        <f>SUMIFS(Лист2!C:C,Лист2!B:B,'общая таблица'!B323,Лист2!A:A,'общая таблица'!A323)</f>
        <v>15</v>
      </c>
      <c r="F323" s="7">
        <f>SUMIFS(Лист2!D:D,Лист2!B:B,'общая таблица'!B323,Лист2!A:A,'общая таблица'!A323)</f>
        <v>750</v>
      </c>
      <c r="G323" s="7">
        <f>SUMIFS(Лист2!E:E,Лист2!B:B,'общая таблица'!B323,Лист2!A:A,'общая таблица'!A323)</f>
        <v>647</v>
      </c>
      <c r="H323" s="18">
        <f t="shared" ref="H323:H386" si="10">C323*D323</f>
        <v>13349723116.5</v>
      </c>
      <c r="I323" t="str">
        <f t="shared" ref="I323:I386" si="11">TEXT(A323,"дддд")</f>
        <v>понедельник</v>
      </c>
    </row>
    <row r="324" spans="1:9" ht="14.25" customHeight="1" x14ac:dyDescent="0.3">
      <c r="A324" s="14">
        <v>43956</v>
      </c>
      <c r="B324" s="16" t="s">
        <v>18</v>
      </c>
      <c r="C324" s="20">
        <v>15987</v>
      </c>
      <c r="D324" s="20">
        <v>1384179</v>
      </c>
      <c r="E324" s="7">
        <f>SUMIFS(Лист2!C:C,Лист2!B:B,'общая таблица'!B324,Лист2!A:A,'общая таблица'!A324)</f>
        <v>15</v>
      </c>
      <c r="F324" s="7">
        <f>SUMIFS(Лист2!D:D,Лист2!B:B,'общая таблица'!B324,Лист2!A:A,'общая таблица'!A324)</f>
        <v>922</v>
      </c>
      <c r="G324" s="7">
        <f>SUMIFS(Лист2!E:E,Лист2!B:B,'общая таблица'!B324,Лист2!A:A,'общая таблица'!A324)</f>
        <v>823</v>
      </c>
      <c r="H324" s="18">
        <f t="shared" si="10"/>
        <v>22128869673</v>
      </c>
      <c r="I324" t="str">
        <f t="shared" si="11"/>
        <v>вторник</v>
      </c>
    </row>
    <row r="325" spans="1:9" ht="14.25" customHeight="1" x14ac:dyDescent="0.3">
      <c r="A325" s="8">
        <v>43957</v>
      </c>
      <c r="B325" s="9" t="s">
        <v>18</v>
      </c>
      <c r="C325" s="21">
        <v>14061</v>
      </c>
      <c r="D325" s="21">
        <v>1221057</v>
      </c>
      <c r="E325" s="7">
        <f>SUMIFS(Лист2!C:C,Лист2!B:B,'общая таблица'!B325,Лист2!A:A,'общая таблица'!A325)</f>
        <v>15</v>
      </c>
      <c r="F325" s="7">
        <f>SUMIFS(Лист2!D:D,Лист2!B:B,'общая таблица'!B325,Лист2!A:A,'общая таблица'!A325)</f>
        <v>839</v>
      </c>
      <c r="G325" s="7">
        <f>SUMIFS(Лист2!E:E,Лист2!B:B,'общая таблица'!B325,Лист2!A:A,'общая таблица'!A325)</f>
        <v>733</v>
      </c>
      <c r="H325" s="18">
        <f t="shared" si="10"/>
        <v>17169282477</v>
      </c>
      <c r="I325" t="str">
        <f t="shared" si="11"/>
        <v>среда</v>
      </c>
    </row>
    <row r="326" spans="1:9" ht="14.25" customHeight="1" x14ac:dyDescent="0.3">
      <c r="A326" s="14">
        <v>43958</v>
      </c>
      <c r="B326" s="16" t="s">
        <v>18</v>
      </c>
      <c r="C326" s="20">
        <v>12705</v>
      </c>
      <c r="D326" s="20">
        <v>1123894.5</v>
      </c>
      <c r="E326" s="7">
        <f>SUMIFS(Лист2!C:C,Лист2!B:B,'общая таблица'!B326,Лист2!A:A,'общая таблица'!A326)</f>
        <v>15</v>
      </c>
      <c r="F326" s="7">
        <f>SUMIFS(Лист2!D:D,Лист2!B:B,'общая таблица'!B326,Лист2!A:A,'общая таблица'!A326)</f>
        <v>805</v>
      </c>
      <c r="G326" s="7">
        <f>SUMIFS(Лист2!E:E,Лист2!B:B,'общая таблица'!B326,Лист2!A:A,'общая таблица'!A326)</f>
        <v>703</v>
      </c>
      <c r="H326" s="18">
        <f t="shared" si="10"/>
        <v>14279079622.5</v>
      </c>
      <c r="I326" t="str">
        <f t="shared" si="11"/>
        <v>четверг</v>
      </c>
    </row>
    <row r="327" spans="1:9" ht="14.25" customHeight="1" x14ac:dyDescent="0.3">
      <c r="A327" s="15">
        <v>43959</v>
      </c>
      <c r="B327" s="17" t="s">
        <v>18</v>
      </c>
      <c r="C327" s="23">
        <v>14494.5</v>
      </c>
      <c r="D327" s="23">
        <v>1269786</v>
      </c>
      <c r="E327" s="7">
        <f>SUMIFS(Лист2!C:C,Лист2!B:B,'общая таблица'!B327,Лист2!A:A,'общая таблица'!A327)</f>
        <v>15</v>
      </c>
      <c r="F327" s="7">
        <f>SUMIFS(Лист2!D:D,Лист2!B:B,'общая таблица'!B327,Лист2!A:A,'общая таблица'!A327)</f>
        <v>879</v>
      </c>
      <c r="G327" s="7">
        <f>SUMIFS(Лист2!E:E,Лист2!B:B,'общая таблица'!B327,Лист2!A:A,'общая таблица'!A327)</f>
        <v>768</v>
      </c>
      <c r="H327" s="18">
        <f t="shared" si="10"/>
        <v>18404913177</v>
      </c>
      <c r="I327" t="str">
        <f t="shared" si="11"/>
        <v>пятница</v>
      </c>
    </row>
    <row r="328" spans="1:9" ht="14.25" customHeight="1" x14ac:dyDescent="0.3">
      <c r="A328" s="5">
        <v>43960</v>
      </c>
      <c r="B328" s="6" t="s">
        <v>18</v>
      </c>
      <c r="C328" s="22">
        <v>13948.5</v>
      </c>
      <c r="D328" s="22">
        <v>1222932</v>
      </c>
      <c r="E328" s="7">
        <f>SUMIFS(Лист2!C:C,Лист2!B:B,'общая таблица'!B328,Лист2!A:A,'общая таблица'!A328)</f>
        <v>15</v>
      </c>
      <c r="F328" s="7">
        <f>SUMIFS(Лист2!D:D,Лист2!B:B,'общая таблица'!B328,Лист2!A:A,'общая таблица'!A328)</f>
        <v>849</v>
      </c>
      <c r="G328" s="7">
        <f>SUMIFS(Лист2!E:E,Лист2!B:B,'общая таблица'!B328,Лист2!A:A,'общая таблица'!A328)</f>
        <v>740</v>
      </c>
      <c r="H328" s="18">
        <f t="shared" si="10"/>
        <v>17058067002</v>
      </c>
      <c r="I328" t="str">
        <f t="shared" si="11"/>
        <v>суббота</v>
      </c>
    </row>
    <row r="329" spans="1:9" ht="14.25" customHeight="1" x14ac:dyDescent="0.3">
      <c r="A329" s="8">
        <v>43961</v>
      </c>
      <c r="B329" s="9" t="s">
        <v>18</v>
      </c>
      <c r="C329" s="21">
        <v>16435.5</v>
      </c>
      <c r="D329" s="21">
        <v>1471537.5</v>
      </c>
      <c r="E329" s="7">
        <f>SUMIFS(Лист2!C:C,Лист2!B:B,'общая таблица'!B329,Лист2!A:A,'общая таблица'!A329)</f>
        <v>15</v>
      </c>
      <c r="F329" s="7">
        <f>SUMIFS(Лист2!D:D,Лист2!B:B,'общая таблица'!B329,Лист2!A:A,'общая таблица'!A329)</f>
        <v>950</v>
      </c>
      <c r="G329" s="7">
        <f>SUMIFS(Лист2!E:E,Лист2!B:B,'общая таблица'!B329,Лист2!A:A,'общая таблица'!A329)</f>
        <v>848</v>
      </c>
      <c r="H329" s="18">
        <f t="shared" si="10"/>
        <v>24185454581.25</v>
      </c>
      <c r="I329" t="str">
        <f t="shared" si="11"/>
        <v>воскресенье</v>
      </c>
    </row>
    <row r="330" spans="1:9" ht="14.25" customHeight="1" x14ac:dyDescent="0.3">
      <c r="A330" s="5">
        <v>43962</v>
      </c>
      <c r="B330" s="6" t="s">
        <v>18</v>
      </c>
      <c r="C330" s="22">
        <v>12238.5</v>
      </c>
      <c r="D330" s="22">
        <v>1096002</v>
      </c>
      <c r="E330" s="7">
        <f>SUMIFS(Лист2!C:C,Лист2!B:B,'общая таблица'!B330,Лист2!A:A,'общая таблица'!A330)</f>
        <v>15</v>
      </c>
      <c r="F330" s="7">
        <f>SUMIFS(Лист2!D:D,Лист2!B:B,'общая таблица'!B330,Лист2!A:A,'общая таблица'!A330)</f>
        <v>812</v>
      </c>
      <c r="G330" s="7">
        <f>SUMIFS(Лист2!E:E,Лист2!B:B,'общая таблица'!B330,Лист2!A:A,'общая таблица'!A330)</f>
        <v>714</v>
      </c>
      <c r="H330" s="18">
        <f t="shared" si="10"/>
        <v>13413420477</v>
      </c>
      <c r="I330" t="str">
        <f t="shared" si="11"/>
        <v>понедельник</v>
      </c>
    </row>
    <row r="331" spans="1:9" ht="14.25" customHeight="1" x14ac:dyDescent="0.3">
      <c r="A331" s="15">
        <v>43963</v>
      </c>
      <c r="B331" s="17" t="s">
        <v>18</v>
      </c>
      <c r="C331" s="23">
        <v>12802.5</v>
      </c>
      <c r="D331" s="23">
        <v>1123830</v>
      </c>
      <c r="E331" s="7">
        <f>SUMIFS(Лист2!C:C,Лист2!B:B,'общая таблица'!B331,Лист2!A:A,'общая таблица'!A331)</f>
        <v>15</v>
      </c>
      <c r="F331" s="7">
        <f>SUMIFS(Лист2!D:D,Лист2!B:B,'общая таблица'!B331,Лист2!A:A,'общая таблица'!A331)</f>
        <v>845</v>
      </c>
      <c r="G331" s="7">
        <f>SUMIFS(Лист2!E:E,Лист2!B:B,'общая таблица'!B331,Лист2!A:A,'общая таблица'!A331)</f>
        <v>743</v>
      </c>
      <c r="H331" s="18">
        <f t="shared" si="10"/>
        <v>14387833575</v>
      </c>
      <c r="I331" t="str">
        <f t="shared" si="11"/>
        <v>вторник</v>
      </c>
    </row>
    <row r="332" spans="1:9" ht="14.25" customHeight="1" x14ac:dyDescent="0.3">
      <c r="A332" s="14">
        <v>43964</v>
      </c>
      <c r="B332" s="16" t="s">
        <v>18</v>
      </c>
      <c r="C332" s="20">
        <v>14305.5</v>
      </c>
      <c r="D332" s="20">
        <v>1243507.5</v>
      </c>
      <c r="E332" s="7">
        <f>SUMIFS(Лист2!C:C,Лист2!B:B,'общая таблица'!B332,Лист2!A:A,'общая таблица'!A332)</f>
        <v>15</v>
      </c>
      <c r="F332" s="7">
        <f>SUMIFS(Лист2!D:D,Лист2!B:B,'общая таблица'!B332,Лист2!A:A,'общая таблица'!A332)</f>
        <v>898</v>
      </c>
      <c r="G332" s="7">
        <f>SUMIFS(Лист2!E:E,Лист2!B:B,'общая таблица'!B332,Лист2!A:A,'общая таблица'!A332)</f>
        <v>795</v>
      </c>
      <c r="H332" s="18">
        <f t="shared" si="10"/>
        <v>17788996541.25</v>
      </c>
      <c r="I332" t="str">
        <f t="shared" si="11"/>
        <v>среда</v>
      </c>
    </row>
    <row r="333" spans="1:9" ht="14.25" customHeight="1" x14ac:dyDescent="0.3">
      <c r="A333" s="15">
        <v>43965</v>
      </c>
      <c r="B333" s="17" t="s">
        <v>18</v>
      </c>
      <c r="C333" s="23">
        <v>14385</v>
      </c>
      <c r="D333" s="23">
        <v>1223491.5</v>
      </c>
      <c r="E333" s="7">
        <f>SUMIFS(Лист2!C:C,Лист2!B:B,'общая таблица'!B333,Лист2!A:A,'общая таблица'!A333)</f>
        <v>15</v>
      </c>
      <c r="F333" s="7">
        <f>SUMIFS(Лист2!D:D,Лист2!B:B,'общая таблица'!B333,Лист2!A:A,'общая таблица'!A333)</f>
        <v>890</v>
      </c>
      <c r="G333" s="7">
        <f>SUMIFS(Лист2!E:E,Лист2!B:B,'общая таблица'!B333,Лист2!A:A,'общая таблица'!A333)</f>
        <v>777</v>
      </c>
      <c r="H333" s="18">
        <f t="shared" si="10"/>
        <v>17599925227.5</v>
      </c>
      <c r="I333" t="str">
        <f t="shared" si="11"/>
        <v>четверг</v>
      </c>
    </row>
    <row r="334" spans="1:9" ht="14.25" customHeight="1" x14ac:dyDescent="0.3">
      <c r="A334" s="14">
        <v>43966</v>
      </c>
      <c r="B334" s="16" t="s">
        <v>18</v>
      </c>
      <c r="C334" s="20">
        <v>16498.5</v>
      </c>
      <c r="D334" s="20">
        <v>1370482.5</v>
      </c>
      <c r="E334" s="7">
        <f>SUMIFS(Лист2!C:C,Лист2!B:B,'общая таблица'!B334,Лист2!A:A,'общая таблица'!A334)</f>
        <v>15</v>
      </c>
      <c r="F334" s="7">
        <f>SUMIFS(Лист2!D:D,Лист2!B:B,'общая таблица'!B334,Лист2!A:A,'общая таблица'!A334)</f>
        <v>980</v>
      </c>
      <c r="G334" s="7">
        <f>SUMIFS(Лист2!E:E,Лист2!B:B,'общая таблица'!B334,Лист2!A:A,'общая таблица'!A334)</f>
        <v>867</v>
      </c>
      <c r="H334" s="18">
        <f t="shared" si="10"/>
        <v>22610905526.25</v>
      </c>
      <c r="I334" t="str">
        <f t="shared" si="11"/>
        <v>пятница</v>
      </c>
    </row>
    <row r="335" spans="1:9" ht="14.25" customHeight="1" x14ac:dyDescent="0.3">
      <c r="A335" s="8">
        <v>43967</v>
      </c>
      <c r="B335" s="9" t="s">
        <v>18</v>
      </c>
      <c r="C335" s="21">
        <v>18600</v>
      </c>
      <c r="D335" s="21">
        <v>1601425.5</v>
      </c>
      <c r="E335" s="7">
        <f>SUMIFS(Лист2!C:C,Лист2!B:B,'общая таблица'!B335,Лист2!A:A,'общая таблица'!A335)</f>
        <v>15</v>
      </c>
      <c r="F335" s="7">
        <f>SUMIFS(Лист2!D:D,Лист2!B:B,'общая таблица'!B335,Лист2!A:A,'общая таблица'!A335)</f>
        <v>1111</v>
      </c>
      <c r="G335" s="7">
        <f>SUMIFS(Лист2!E:E,Лист2!B:B,'общая таблица'!B335,Лист2!A:A,'общая таблица'!A335)</f>
        <v>992</v>
      </c>
      <c r="H335" s="18">
        <f t="shared" si="10"/>
        <v>29786514300</v>
      </c>
      <c r="I335" t="str">
        <f t="shared" si="11"/>
        <v>суббота</v>
      </c>
    </row>
    <row r="336" spans="1:9" ht="14.25" customHeight="1" x14ac:dyDescent="0.3">
      <c r="A336" s="14">
        <v>43968</v>
      </c>
      <c r="B336" s="16" t="s">
        <v>18</v>
      </c>
      <c r="C336" s="20">
        <v>15609</v>
      </c>
      <c r="D336" s="20">
        <v>1377577.5</v>
      </c>
      <c r="E336" s="7">
        <f>SUMIFS(Лист2!C:C,Лист2!B:B,'общая таблица'!B336,Лист2!A:A,'общая таблица'!A336)</f>
        <v>15</v>
      </c>
      <c r="F336" s="7">
        <f>SUMIFS(Лист2!D:D,Лист2!B:B,'общая таблица'!B336,Лист2!A:A,'общая таблица'!A336)</f>
        <v>971</v>
      </c>
      <c r="G336" s="7">
        <f>SUMIFS(Лист2!E:E,Лист2!B:B,'общая таблица'!B336,Лист2!A:A,'общая таблица'!A336)</f>
        <v>856</v>
      </c>
      <c r="H336" s="18">
        <f t="shared" si="10"/>
        <v>21502607197.5</v>
      </c>
      <c r="I336" t="str">
        <f t="shared" si="11"/>
        <v>воскресенье</v>
      </c>
    </row>
    <row r="337" spans="1:9" ht="14.25" customHeight="1" x14ac:dyDescent="0.3">
      <c r="A337" s="8">
        <v>43969</v>
      </c>
      <c r="B337" s="9" t="s">
        <v>18</v>
      </c>
      <c r="C337" s="21">
        <v>14290.5</v>
      </c>
      <c r="D337" s="21">
        <v>1246162.5</v>
      </c>
      <c r="E337" s="7">
        <f>SUMIFS(Лист2!C:C,Лист2!B:B,'общая таблица'!B337,Лист2!A:A,'общая таблица'!A337)</f>
        <v>16</v>
      </c>
      <c r="F337" s="7">
        <f>SUMIFS(Лист2!D:D,Лист2!B:B,'общая таблица'!B337,Лист2!A:A,'общая таблица'!A337)</f>
        <v>925</v>
      </c>
      <c r="G337" s="7">
        <f>SUMIFS(Лист2!E:E,Лист2!B:B,'общая таблица'!B337,Лист2!A:A,'общая таблица'!A337)</f>
        <v>816</v>
      </c>
      <c r="H337" s="18">
        <f t="shared" si="10"/>
        <v>17808285206.25</v>
      </c>
      <c r="I337" t="str">
        <f t="shared" si="11"/>
        <v>понедельник</v>
      </c>
    </row>
    <row r="338" spans="1:9" ht="14.25" customHeight="1" x14ac:dyDescent="0.3">
      <c r="A338" s="5">
        <v>43970</v>
      </c>
      <c r="B338" s="6" t="s">
        <v>18</v>
      </c>
      <c r="C338" s="22">
        <v>16638</v>
      </c>
      <c r="D338" s="22">
        <v>1364847</v>
      </c>
      <c r="E338" s="7">
        <f>SUMIFS(Лист2!C:C,Лист2!B:B,'общая таблица'!B338,Лист2!A:A,'общая таблица'!A338)</f>
        <v>16</v>
      </c>
      <c r="F338" s="7">
        <f>SUMIFS(Лист2!D:D,Лист2!B:B,'общая таблица'!B338,Лист2!A:A,'общая таблица'!A338)</f>
        <v>1012</v>
      </c>
      <c r="G338" s="7">
        <f>SUMIFS(Лист2!E:E,Лист2!B:B,'общая таблица'!B338,Лист2!A:A,'общая таблица'!A338)</f>
        <v>900</v>
      </c>
      <c r="H338" s="18">
        <f t="shared" si="10"/>
        <v>22708324386</v>
      </c>
      <c r="I338" t="str">
        <f t="shared" si="11"/>
        <v>вторник</v>
      </c>
    </row>
    <row r="339" spans="1:9" ht="14.25" customHeight="1" x14ac:dyDescent="0.3">
      <c r="A339" s="15">
        <v>43971</v>
      </c>
      <c r="B339" s="17" t="s">
        <v>18</v>
      </c>
      <c r="C339" s="23">
        <v>17329.5</v>
      </c>
      <c r="D339" s="23">
        <v>1430254.5</v>
      </c>
      <c r="E339" s="7">
        <f>SUMIFS(Лист2!C:C,Лист2!B:B,'общая таблица'!B339,Лист2!A:A,'общая таблица'!A339)</f>
        <v>16</v>
      </c>
      <c r="F339" s="7">
        <f>SUMIFS(Лист2!D:D,Лист2!B:B,'общая таблица'!B339,Лист2!A:A,'общая таблица'!A339)</f>
        <v>1050</v>
      </c>
      <c r="G339" s="7">
        <f>SUMIFS(Лист2!E:E,Лист2!B:B,'общая таблица'!B339,Лист2!A:A,'общая таблица'!A339)</f>
        <v>938</v>
      </c>
      <c r="H339" s="18">
        <f t="shared" si="10"/>
        <v>24785595357.75</v>
      </c>
      <c r="I339" t="str">
        <f t="shared" si="11"/>
        <v>среда</v>
      </c>
    </row>
    <row r="340" spans="1:9" ht="14.25" customHeight="1" x14ac:dyDescent="0.3">
      <c r="A340" s="14">
        <v>43972</v>
      </c>
      <c r="B340" s="16" t="s">
        <v>18</v>
      </c>
      <c r="C340" s="20">
        <v>16554</v>
      </c>
      <c r="D340" s="20">
        <v>1380751.5</v>
      </c>
      <c r="E340" s="7">
        <f>SUMIFS(Лист2!C:C,Лист2!B:B,'общая таблица'!B340,Лист2!A:A,'общая таблица'!A340)</f>
        <v>17</v>
      </c>
      <c r="F340" s="7">
        <f>SUMIFS(Лист2!D:D,Лист2!B:B,'общая таблица'!B340,Лист2!A:A,'общая таблица'!A340)</f>
        <v>1045</v>
      </c>
      <c r="G340" s="7">
        <f>SUMIFS(Лист2!E:E,Лист2!B:B,'общая таблица'!B340,Лист2!A:A,'общая таблица'!A340)</f>
        <v>930</v>
      </c>
      <c r="H340" s="18">
        <f t="shared" si="10"/>
        <v>22856960331</v>
      </c>
      <c r="I340" t="str">
        <f t="shared" si="11"/>
        <v>четверг</v>
      </c>
    </row>
    <row r="341" spans="1:9" ht="14.25" customHeight="1" x14ac:dyDescent="0.3">
      <c r="A341" s="15">
        <v>43973</v>
      </c>
      <c r="B341" s="17" t="s">
        <v>18</v>
      </c>
      <c r="C341" s="23">
        <v>21483</v>
      </c>
      <c r="D341" s="23">
        <v>1774329</v>
      </c>
      <c r="E341" s="7">
        <f>SUMIFS(Лист2!C:C,Лист2!B:B,'общая таблица'!B341,Лист2!A:A,'общая таблица'!A341)</f>
        <v>17</v>
      </c>
      <c r="F341" s="7">
        <f>SUMIFS(Лист2!D:D,Лист2!B:B,'общая таблица'!B341,Лист2!A:A,'общая таблица'!A341)</f>
        <v>1268</v>
      </c>
      <c r="G341" s="7">
        <f>SUMIFS(Лист2!E:E,Лист2!B:B,'общая таблица'!B341,Лист2!A:A,'общая таблица'!A341)</f>
        <v>1129</v>
      </c>
      <c r="H341" s="18">
        <f t="shared" si="10"/>
        <v>38117909907</v>
      </c>
      <c r="I341" t="str">
        <f t="shared" si="11"/>
        <v>пятница</v>
      </c>
    </row>
    <row r="342" spans="1:9" ht="14.25" customHeight="1" x14ac:dyDescent="0.3">
      <c r="A342" s="5">
        <v>43974</v>
      </c>
      <c r="B342" s="6" t="s">
        <v>18</v>
      </c>
      <c r="C342" s="22">
        <v>21958.5</v>
      </c>
      <c r="D342" s="22">
        <v>1854001.5</v>
      </c>
      <c r="E342" s="7">
        <f>SUMIFS(Лист2!C:C,Лист2!B:B,'общая таблица'!B342,Лист2!A:A,'общая таблица'!A342)</f>
        <v>17</v>
      </c>
      <c r="F342" s="7">
        <f>SUMIFS(Лист2!D:D,Лист2!B:B,'общая таблица'!B342,Лист2!A:A,'общая таблица'!A342)</f>
        <v>1294</v>
      </c>
      <c r="G342" s="7">
        <f>SUMIFS(Лист2!E:E,Лист2!B:B,'общая таблица'!B342,Лист2!A:A,'общая таблица'!A342)</f>
        <v>1155</v>
      </c>
      <c r="H342" s="18">
        <f t="shared" si="10"/>
        <v>40711091937.75</v>
      </c>
      <c r="I342" t="str">
        <f t="shared" si="11"/>
        <v>суббота</v>
      </c>
    </row>
    <row r="343" spans="1:9" ht="14.25" customHeight="1" x14ac:dyDescent="0.3">
      <c r="A343" s="15">
        <v>43975</v>
      </c>
      <c r="B343" s="17" t="s">
        <v>18</v>
      </c>
      <c r="C343" s="23">
        <v>18075</v>
      </c>
      <c r="D343" s="23">
        <v>1548099</v>
      </c>
      <c r="E343" s="7">
        <f>SUMIFS(Лист2!C:C,Лист2!B:B,'общая таблица'!B343,Лист2!A:A,'общая таблица'!A343)</f>
        <v>17</v>
      </c>
      <c r="F343" s="7">
        <f>SUMIFS(Лист2!D:D,Лист2!B:B,'общая таблица'!B343,Лист2!A:A,'общая таблица'!A343)</f>
        <v>1128</v>
      </c>
      <c r="G343" s="7">
        <f>SUMIFS(Лист2!E:E,Лист2!B:B,'общая таблица'!B343,Лист2!A:A,'общая таблица'!A343)</f>
        <v>1001</v>
      </c>
      <c r="H343" s="18">
        <f t="shared" si="10"/>
        <v>27981889425</v>
      </c>
      <c r="I343" t="str">
        <f t="shared" si="11"/>
        <v>воскресенье</v>
      </c>
    </row>
    <row r="344" spans="1:9" ht="14.25" customHeight="1" x14ac:dyDescent="0.3">
      <c r="A344" s="14">
        <v>43976</v>
      </c>
      <c r="B344" s="16" t="s">
        <v>18</v>
      </c>
      <c r="C344" s="20">
        <v>17211</v>
      </c>
      <c r="D344" s="20">
        <v>1507867.5</v>
      </c>
      <c r="E344" s="7">
        <f>SUMIFS(Лист2!C:C,Лист2!B:B,'общая таблица'!B344,Лист2!A:A,'общая таблица'!A344)</f>
        <v>17</v>
      </c>
      <c r="F344" s="7">
        <f>SUMIFS(Лист2!D:D,Лист2!B:B,'общая таблица'!B344,Лист2!A:A,'общая таблица'!A344)</f>
        <v>1142</v>
      </c>
      <c r="G344" s="7">
        <f>SUMIFS(Лист2!E:E,Лист2!B:B,'общая таблица'!B344,Лист2!A:A,'общая таблица'!A344)</f>
        <v>1020</v>
      </c>
      <c r="H344" s="18">
        <f t="shared" si="10"/>
        <v>25951907542.5</v>
      </c>
      <c r="I344" t="str">
        <f t="shared" si="11"/>
        <v>понедельник</v>
      </c>
    </row>
    <row r="345" spans="1:9" ht="14.25" customHeight="1" x14ac:dyDescent="0.3">
      <c r="A345" s="15">
        <v>43977</v>
      </c>
      <c r="B345" s="17" t="s">
        <v>18</v>
      </c>
      <c r="C345" s="23">
        <v>17391</v>
      </c>
      <c r="D345" s="23">
        <v>1489132.5</v>
      </c>
      <c r="E345" s="7">
        <f>SUMIFS(Лист2!C:C,Лист2!B:B,'общая таблица'!B345,Лист2!A:A,'общая таблица'!A345)</f>
        <v>17</v>
      </c>
      <c r="F345" s="7">
        <f>SUMIFS(Лист2!D:D,Лист2!B:B,'общая таблица'!B345,Лист2!A:A,'общая таблица'!A345)</f>
        <v>1140</v>
      </c>
      <c r="G345" s="7">
        <f>SUMIFS(Лист2!E:E,Лист2!B:B,'общая таблица'!B345,Лист2!A:A,'общая таблица'!A345)</f>
        <v>1016</v>
      </c>
      <c r="H345" s="18">
        <f t="shared" si="10"/>
        <v>25897503307.5</v>
      </c>
      <c r="I345" t="str">
        <f t="shared" si="11"/>
        <v>вторник</v>
      </c>
    </row>
    <row r="346" spans="1:9" ht="14.25" customHeight="1" x14ac:dyDescent="0.3">
      <c r="A346" s="14">
        <v>43978</v>
      </c>
      <c r="B346" s="16" t="s">
        <v>18</v>
      </c>
      <c r="C346" s="20">
        <v>18069</v>
      </c>
      <c r="D346" s="20">
        <v>1603084.5</v>
      </c>
      <c r="E346" s="7">
        <f>SUMIFS(Лист2!C:C,Лист2!B:B,'общая таблица'!B346,Лист2!A:A,'общая таблица'!A346)</f>
        <v>17</v>
      </c>
      <c r="F346" s="7">
        <f>SUMIFS(Лист2!D:D,Лист2!B:B,'общая таблица'!B346,Лист2!A:A,'общая таблица'!A346)</f>
        <v>1203</v>
      </c>
      <c r="G346" s="7">
        <f>SUMIFS(Лист2!E:E,Лист2!B:B,'общая таблица'!B346,Лист2!A:A,'общая таблица'!A346)</f>
        <v>1077</v>
      </c>
      <c r="H346" s="18">
        <f t="shared" si="10"/>
        <v>28966133830.5</v>
      </c>
      <c r="I346" t="str">
        <f t="shared" si="11"/>
        <v>среда</v>
      </c>
    </row>
    <row r="347" spans="1:9" ht="14.25" customHeight="1" x14ac:dyDescent="0.3">
      <c r="A347" s="8">
        <v>43979</v>
      </c>
      <c r="B347" s="9" t="s">
        <v>18</v>
      </c>
      <c r="C347" s="21">
        <v>16500</v>
      </c>
      <c r="D347" s="21">
        <v>1487928</v>
      </c>
      <c r="E347" s="7">
        <f>SUMIFS(Лист2!C:C,Лист2!B:B,'общая таблица'!B347,Лист2!A:A,'общая таблица'!A347)</f>
        <v>17</v>
      </c>
      <c r="F347" s="7">
        <f>SUMIFS(Лист2!D:D,Лист2!B:B,'общая таблица'!B347,Лист2!A:A,'общая таблица'!A347)</f>
        <v>1097</v>
      </c>
      <c r="G347" s="7">
        <f>SUMIFS(Лист2!E:E,Лист2!B:B,'общая таблица'!B347,Лист2!A:A,'общая таблица'!A347)</f>
        <v>968</v>
      </c>
      <c r="H347" s="18">
        <f t="shared" si="10"/>
        <v>24550812000</v>
      </c>
      <c r="I347" t="str">
        <f t="shared" si="11"/>
        <v>четверг</v>
      </c>
    </row>
    <row r="348" spans="1:9" ht="14.25" customHeight="1" x14ac:dyDescent="0.3">
      <c r="A348" s="5">
        <v>43980</v>
      </c>
      <c r="B348" s="6" t="s">
        <v>18</v>
      </c>
      <c r="C348" s="22">
        <v>19647</v>
      </c>
      <c r="D348" s="22">
        <v>1764669</v>
      </c>
      <c r="E348" s="7">
        <f>SUMIFS(Лист2!C:C,Лист2!B:B,'общая таблица'!B348,Лист2!A:A,'общая таблица'!A348)</f>
        <v>17</v>
      </c>
      <c r="F348" s="7">
        <f>SUMIFS(Лист2!D:D,Лист2!B:B,'общая таблица'!B348,Лист2!A:A,'общая таблица'!A348)</f>
        <v>1296</v>
      </c>
      <c r="G348" s="7">
        <f>SUMIFS(Лист2!E:E,Лист2!B:B,'общая таблица'!B348,Лист2!A:A,'общая таблица'!A348)</f>
        <v>1153</v>
      </c>
      <c r="H348" s="18">
        <f t="shared" si="10"/>
        <v>34670451843</v>
      </c>
      <c r="I348" t="str">
        <f t="shared" si="11"/>
        <v>пятница</v>
      </c>
    </row>
    <row r="349" spans="1:9" ht="14.25" customHeight="1" x14ac:dyDescent="0.3">
      <c r="A349" s="15">
        <v>43981</v>
      </c>
      <c r="B349" s="17" t="s">
        <v>18</v>
      </c>
      <c r="C349" s="23">
        <v>27250.5</v>
      </c>
      <c r="D349" s="23">
        <v>2457252</v>
      </c>
      <c r="E349" s="7">
        <f>SUMIFS(Лист2!C:C,Лист2!B:B,'общая таблица'!B349,Лист2!A:A,'общая таблица'!A349)</f>
        <v>17</v>
      </c>
      <c r="F349" s="7">
        <f>SUMIFS(Лист2!D:D,Лист2!B:B,'общая таблица'!B349,Лист2!A:A,'общая таблица'!A349)</f>
        <v>1697</v>
      </c>
      <c r="G349" s="7">
        <f>SUMIFS(Лист2!E:E,Лист2!B:B,'общая таблица'!B349,Лист2!A:A,'общая таблица'!A349)</f>
        <v>1499</v>
      </c>
      <c r="H349" s="18">
        <f t="shared" si="10"/>
        <v>66961345626</v>
      </c>
      <c r="I349" t="str">
        <f t="shared" si="11"/>
        <v>суббота</v>
      </c>
    </row>
    <row r="350" spans="1:9" ht="14.25" customHeight="1" x14ac:dyDescent="0.3">
      <c r="A350" s="5">
        <v>43982</v>
      </c>
      <c r="B350" s="6" t="s">
        <v>18</v>
      </c>
      <c r="C350" s="22">
        <v>17689.5</v>
      </c>
      <c r="D350" s="22">
        <v>1592119.5</v>
      </c>
      <c r="E350" s="7">
        <f>SUMIFS(Лист2!C:C,Лист2!B:B,'общая таблица'!B350,Лист2!A:A,'общая таблица'!A350)</f>
        <v>17</v>
      </c>
      <c r="F350" s="7">
        <f>SUMIFS(Лист2!D:D,Лист2!B:B,'общая таблица'!B350,Лист2!A:A,'общая таблица'!A350)</f>
        <v>1186</v>
      </c>
      <c r="G350" s="7">
        <f>SUMIFS(Лист2!E:E,Лист2!B:B,'общая таблица'!B350,Лист2!A:A,'общая таблица'!A350)</f>
        <v>1054</v>
      </c>
      <c r="H350" s="18">
        <f t="shared" si="10"/>
        <v>28163797895.25</v>
      </c>
      <c r="I350" t="str">
        <f t="shared" si="11"/>
        <v>воскресенье</v>
      </c>
    </row>
    <row r="351" spans="1:9" ht="14.25" customHeight="1" x14ac:dyDescent="0.3">
      <c r="A351" s="8">
        <v>43983</v>
      </c>
      <c r="B351" s="9" t="s">
        <v>18</v>
      </c>
      <c r="C351" s="21">
        <v>16687.5</v>
      </c>
      <c r="D351" s="21">
        <v>1526608.5</v>
      </c>
      <c r="E351" s="7">
        <f>SUMIFS(Лист2!C:C,Лист2!B:B,'общая таблица'!B351,Лист2!A:A,'общая таблица'!A351)</f>
        <v>17</v>
      </c>
      <c r="F351" s="7">
        <f>SUMIFS(Лист2!D:D,Лист2!B:B,'общая таблица'!B351,Лист2!A:A,'общая таблица'!A351)</f>
        <v>1185</v>
      </c>
      <c r="G351" s="7">
        <f>SUMIFS(Лист2!E:E,Лист2!B:B,'общая таблица'!B351,Лист2!A:A,'общая таблица'!A351)</f>
        <v>1042</v>
      </c>
      <c r="H351" s="18">
        <f t="shared" si="10"/>
        <v>25475279343.75</v>
      </c>
      <c r="I351" t="str">
        <f t="shared" si="11"/>
        <v>понедельник</v>
      </c>
    </row>
    <row r="352" spans="1:9" ht="14.25" customHeight="1" x14ac:dyDescent="0.3">
      <c r="A352" s="14">
        <v>43951</v>
      </c>
      <c r="B352" s="16" t="s">
        <v>19</v>
      </c>
      <c r="C352" s="20">
        <v>4285.5</v>
      </c>
      <c r="D352" s="20">
        <v>404691</v>
      </c>
      <c r="E352" s="7">
        <f>SUMIFS(Лист2!C:C,Лист2!B:B,'общая таблица'!B352,Лист2!A:A,'общая таблица'!A352)</f>
        <v>15</v>
      </c>
      <c r="F352" s="7">
        <f>SUMIFS(Лист2!D:D,Лист2!B:B,'общая таблица'!B352,Лист2!A:A,'общая таблица'!A352)</f>
        <v>262</v>
      </c>
      <c r="G352" s="7">
        <f>SUMIFS(Лист2!E:E,Лист2!B:B,'общая таблица'!B352,Лист2!A:A,'общая таблица'!A352)</f>
        <v>195</v>
      </c>
      <c r="H352" s="18">
        <f t="shared" si="10"/>
        <v>1734303280.5</v>
      </c>
      <c r="I352" t="str">
        <f t="shared" si="11"/>
        <v>четверг</v>
      </c>
    </row>
    <row r="353" spans="1:9" ht="14.25" customHeight="1" x14ac:dyDescent="0.3">
      <c r="A353" s="8">
        <v>43952</v>
      </c>
      <c r="B353" s="9" t="s">
        <v>19</v>
      </c>
      <c r="C353" s="21">
        <v>5446.5</v>
      </c>
      <c r="D353" s="21">
        <v>505572</v>
      </c>
      <c r="E353" s="7">
        <f>SUMIFS(Лист2!C:C,Лист2!B:B,'общая таблица'!B353,Лист2!A:A,'общая таблица'!A353)</f>
        <v>15</v>
      </c>
      <c r="F353" s="7">
        <f>SUMIFS(Лист2!D:D,Лист2!B:B,'общая таблица'!B353,Лист2!A:A,'общая таблица'!A353)</f>
        <v>294</v>
      </c>
      <c r="G353" s="7">
        <f>SUMIFS(Лист2!E:E,Лист2!B:B,'общая таблица'!B353,Лист2!A:A,'общая таблица'!A353)</f>
        <v>225</v>
      </c>
      <c r="H353" s="18">
        <f t="shared" si="10"/>
        <v>2753597898</v>
      </c>
      <c r="I353" t="str">
        <f t="shared" si="11"/>
        <v>пятница</v>
      </c>
    </row>
    <row r="354" spans="1:9" ht="14.25" customHeight="1" x14ac:dyDescent="0.3">
      <c r="A354" s="14">
        <v>43953</v>
      </c>
      <c r="B354" s="16" t="s">
        <v>19</v>
      </c>
      <c r="C354" s="20">
        <v>4624.5</v>
      </c>
      <c r="D354" s="20">
        <v>433243.5</v>
      </c>
      <c r="E354" s="7">
        <f>SUMIFS(Лист2!C:C,Лист2!B:B,'общая таблица'!B354,Лист2!A:A,'общая таблица'!A354)</f>
        <v>15</v>
      </c>
      <c r="F354" s="7">
        <f>SUMIFS(Лист2!D:D,Лист2!B:B,'общая таблица'!B354,Лист2!A:A,'общая таблица'!A354)</f>
        <v>274</v>
      </c>
      <c r="G354" s="7">
        <f>SUMIFS(Лист2!E:E,Лист2!B:B,'общая таблица'!B354,Лист2!A:A,'общая таблица'!A354)</f>
        <v>203</v>
      </c>
      <c r="H354" s="18">
        <f t="shared" si="10"/>
        <v>2003534565.75</v>
      </c>
      <c r="I354" t="str">
        <f t="shared" si="11"/>
        <v>суббота</v>
      </c>
    </row>
    <row r="355" spans="1:9" ht="14.25" customHeight="1" x14ac:dyDescent="0.3">
      <c r="A355" s="8">
        <v>43954</v>
      </c>
      <c r="B355" s="9" t="s">
        <v>19</v>
      </c>
      <c r="C355" s="21">
        <v>8127</v>
      </c>
      <c r="D355" s="21">
        <v>665302.5</v>
      </c>
      <c r="E355" s="7">
        <f>SUMIFS(Лист2!C:C,Лист2!B:B,'общая таблица'!B355,Лист2!A:A,'общая таблица'!A355)</f>
        <v>15</v>
      </c>
      <c r="F355" s="7">
        <f>SUMIFS(Лист2!D:D,Лист2!B:B,'общая таблица'!B355,Лист2!A:A,'общая таблица'!A355)</f>
        <v>455</v>
      </c>
      <c r="G355" s="7">
        <f>SUMIFS(Лист2!E:E,Лист2!B:B,'общая таблица'!B355,Лист2!A:A,'общая таблица'!A355)</f>
        <v>384</v>
      </c>
      <c r="H355" s="18">
        <f t="shared" si="10"/>
        <v>5406913417.5</v>
      </c>
      <c r="I355" t="str">
        <f t="shared" si="11"/>
        <v>воскресенье</v>
      </c>
    </row>
    <row r="356" spans="1:9" ht="14.25" customHeight="1" x14ac:dyDescent="0.3">
      <c r="A356" s="14">
        <v>43955</v>
      </c>
      <c r="B356" s="16" t="s">
        <v>19</v>
      </c>
      <c r="C356" s="20">
        <v>7087.5</v>
      </c>
      <c r="D356" s="20">
        <v>610855.5</v>
      </c>
      <c r="E356" s="7">
        <f>SUMIFS(Лист2!C:C,Лист2!B:B,'общая таблица'!B356,Лист2!A:A,'общая таблица'!A356)</f>
        <v>15</v>
      </c>
      <c r="F356" s="7">
        <f>SUMIFS(Лист2!D:D,Лист2!B:B,'общая таблица'!B356,Лист2!A:A,'общая таблица'!A356)</f>
        <v>390</v>
      </c>
      <c r="G356" s="7">
        <f>SUMIFS(Лист2!E:E,Лист2!B:B,'общая таблица'!B356,Лист2!A:A,'общая таблица'!A356)</f>
        <v>315</v>
      </c>
      <c r="H356" s="18">
        <f t="shared" si="10"/>
        <v>4329438356.25</v>
      </c>
      <c r="I356" t="str">
        <f t="shared" si="11"/>
        <v>понедельник</v>
      </c>
    </row>
    <row r="357" spans="1:9" ht="14.25" customHeight="1" x14ac:dyDescent="0.3">
      <c r="A357" s="8">
        <v>43956</v>
      </c>
      <c r="B357" s="9" t="s">
        <v>19</v>
      </c>
      <c r="C357" s="21">
        <v>8223</v>
      </c>
      <c r="D357" s="21">
        <v>694593</v>
      </c>
      <c r="E357" s="7">
        <f>SUMIFS(Лист2!C:C,Лист2!B:B,'общая таблица'!B357,Лист2!A:A,'общая таблица'!A357)</f>
        <v>15</v>
      </c>
      <c r="F357" s="7">
        <f>SUMIFS(Лист2!D:D,Лист2!B:B,'общая таблица'!B357,Лист2!A:A,'общая таблица'!A357)</f>
        <v>455</v>
      </c>
      <c r="G357" s="7">
        <f>SUMIFS(Лист2!E:E,Лист2!B:B,'общая таблица'!B357,Лист2!A:A,'общая таблица'!A357)</f>
        <v>381</v>
      </c>
      <c r="H357" s="18">
        <f t="shared" si="10"/>
        <v>5711638239</v>
      </c>
      <c r="I357" t="str">
        <f t="shared" si="11"/>
        <v>вторник</v>
      </c>
    </row>
    <row r="358" spans="1:9" ht="14.25" customHeight="1" x14ac:dyDescent="0.3">
      <c r="A358" s="14">
        <v>43957</v>
      </c>
      <c r="B358" s="16" t="s">
        <v>19</v>
      </c>
      <c r="C358" s="20">
        <v>8464.5</v>
      </c>
      <c r="D358" s="20">
        <v>739291.5</v>
      </c>
      <c r="E358" s="7">
        <f>SUMIFS(Лист2!C:C,Лист2!B:B,'общая таблица'!B358,Лист2!A:A,'общая таблица'!A358)</f>
        <v>15</v>
      </c>
      <c r="F358" s="7">
        <f>SUMIFS(Лист2!D:D,Лист2!B:B,'общая таблица'!B358,Лист2!A:A,'общая таблица'!A358)</f>
        <v>467</v>
      </c>
      <c r="G358" s="7">
        <f>SUMIFS(Лист2!E:E,Лист2!B:B,'общая таблица'!B358,Лист2!A:A,'общая таблица'!A358)</f>
        <v>389</v>
      </c>
      <c r="H358" s="18">
        <f t="shared" si="10"/>
        <v>6257732901.75</v>
      </c>
      <c r="I358" t="str">
        <f t="shared" si="11"/>
        <v>среда</v>
      </c>
    </row>
    <row r="359" spans="1:9" ht="14.25" customHeight="1" x14ac:dyDescent="0.3">
      <c r="A359" s="15">
        <v>43958</v>
      </c>
      <c r="B359" s="17" t="s">
        <v>19</v>
      </c>
      <c r="C359" s="23">
        <v>8719.5</v>
      </c>
      <c r="D359" s="23">
        <v>769276.5</v>
      </c>
      <c r="E359" s="7">
        <f>SUMIFS(Лист2!C:C,Лист2!B:B,'общая таблица'!B359,Лист2!A:A,'общая таблица'!A359)</f>
        <v>15</v>
      </c>
      <c r="F359" s="7">
        <f>SUMIFS(Лист2!D:D,Лист2!B:B,'общая таблица'!B359,Лист2!A:A,'общая таблица'!A359)</f>
        <v>480</v>
      </c>
      <c r="G359" s="7">
        <f>SUMIFS(Лист2!E:E,Лист2!B:B,'общая таблица'!B359,Лист2!A:A,'общая таблица'!A359)</f>
        <v>398</v>
      </c>
      <c r="H359" s="18">
        <f t="shared" si="10"/>
        <v>6707706441.75</v>
      </c>
      <c r="I359" t="str">
        <f t="shared" si="11"/>
        <v>четверг</v>
      </c>
    </row>
    <row r="360" spans="1:9" ht="14.25" customHeight="1" x14ac:dyDescent="0.3">
      <c r="A360" s="14">
        <v>43959</v>
      </c>
      <c r="B360" s="16" t="s">
        <v>19</v>
      </c>
      <c r="C360" s="20">
        <v>9058.5</v>
      </c>
      <c r="D360" s="20">
        <v>798759</v>
      </c>
      <c r="E360" s="7">
        <f>SUMIFS(Лист2!C:C,Лист2!B:B,'общая таблица'!B360,Лист2!A:A,'общая таблица'!A360)</f>
        <v>15</v>
      </c>
      <c r="F360" s="7">
        <f>SUMIFS(Лист2!D:D,Лист2!B:B,'общая таблица'!B360,Лист2!A:A,'общая таблица'!A360)</f>
        <v>492</v>
      </c>
      <c r="G360" s="7">
        <f>SUMIFS(Лист2!E:E,Лист2!B:B,'общая таблица'!B360,Лист2!A:A,'общая таблица'!A360)</f>
        <v>412</v>
      </c>
      <c r="H360" s="18">
        <f t="shared" si="10"/>
        <v>7235558401.5</v>
      </c>
      <c r="I360" t="str">
        <f t="shared" si="11"/>
        <v>пятница</v>
      </c>
    </row>
    <row r="361" spans="1:9" ht="14.25" customHeight="1" x14ac:dyDescent="0.3">
      <c r="A361" s="15">
        <v>43960</v>
      </c>
      <c r="B361" s="17" t="s">
        <v>19</v>
      </c>
      <c r="C361" s="23">
        <v>12037.5</v>
      </c>
      <c r="D361" s="23">
        <v>1081216.5</v>
      </c>
      <c r="E361" s="7">
        <f>SUMIFS(Лист2!C:C,Лист2!B:B,'общая таблица'!B361,Лист2!A:A,'общая таблица'!A361)</f>
        <v>15</v>
      </c>
      <c r="F361" s="7">
        <f>SUMIFS(Лист2!D:D,Лист2!B:B,'общая таблица'!B361,Лист2!A:A,'общая таблица'!A361)</f>
        <v>623</v>
      </c>
      <c r="G361" s="7">
        <f>SUMIFS(Лист2!E:E,Лист2!B:B,'общая таблица'!B361,Лист2!A:A,'общая таблица'!A361)</f>
        <v>535</v>
      </c>
      <c r="H361" s="18">
        <f t="shared" si="10"/>
        <v>13015143618.75</v>
      </c>
      <c r="I361" t="str">
        <f t="shared" si="11"/>
        <v>суббота</v>
      </c>
    </row>
    <row r="362" spans="1:9" ht="14.25" customHeight="1" x14ac:dyDescent="0.3">
      <c r="A362" s="5">
        <v>43961</v>
      </c>
      <c r="B362" s="6" t="s">
        <v>19</v>
      </c>
      <c r="C362" s="22">
        <v>13440</v>
      </c>
      <c r="D362" s="22">
        <v>1198285.5</v>
      </c>
      <c r="E362" s="7">
        <f>SUMIFS(Лист2!C:C,Лист2!B:B,'общая таблица'!B362,Лист2!A:A,'общая таблица'!A362)</f>
        <v>15</v>
      </c>
      <c r="F362" s="7">
        <f>SUMIFS(Лист2!D:D,Лист2!B:B,'общая таблица'!B362,Лист2!A:A,'общая таблица'!A362)</f>
        <v>706</v>
      </c>
      <c r="G362" s="7">
        <f>SUMIFS(Лист2!E:E,Лист2!B:B,'общая таблица'!B362,Лист2!A:A,'общая таблица'!A362)</f>
        <v>608</v>
      </c>
      <c r="H362" s="18">
        <f t="shared" si="10"/>
        <v>16104957120</v>
      </c>
      <c r="I362" t="str">
        <f t="shared" si="11"/>
        <v>воскресенье</v>
      </c>
    </row>
    <row r="363" spans="1:9" ht="14.25" customHeight="1" x14ac:dyDescent="0.3">
      <c r="A363" s="8">
        <v>43962</v>
      </c>
      <c r="B363" s="9" t="s">
        <v>19</v>
      </c>
      <c r="C363" s="21">
        <v>12654</v>
      </c>
      <c r="D363" s="21">
        <v>1081158</v>
      </c>
      <c r="E363" s="7">
        <f>SUMIFS(Лист2!C:C,Лист2!B:B,'общая таблица'!B363,Лист2!A:A,'общая таблица'!A363)</f>
        <v>15</v>
      </c>
      <c r="F363" s="7">
        <f>SUMIFS(Лист2!D:D,Лист2!B:B,'общая таблица'!B363,Лист2!A:A,'общая таблица'!A363)</f>
        <v>684</v>
      </c>
      <c r="G363" s="7">
        <f>SUMIFS(Лист2!E:E,Лист2!B:B,'общая таблица'!B363,Лист2!A:A,'общая таблица'!A363)</f>
        <v>585</v>
      </c>
      <c r="H363" s="18">
        <f t="shared" si="10"/>
        <v>13680973332</v>
      </c>
      <c r="I363" t="str">
        <f t="shared" si="11"/>
        <v>понедельник</v>
      </c>
    </row>
    <row r="364" spans="1:9" ht="14.25" customHeight="1" x14ac:dyDescent="0.3">
      <c r="A364" s="5">
        <v>43963</v>
      </c>
      <c r="B364" s="6" t="s">
        <v>19</v>
      </c>
      <c r="C364" s="22">
        <v>11296.5</v>
      </c>
      <c r="D364" s="22">
        <v>989632.5</v>
      </c>
      <c r="E364" s="7">
        <f>SUMIFS(Лист2!C:C,Лист2!B:B,'общая таблица'!B364,Лист2!A:A,'общая таблица'!A364)</f>
        <v>15</v>
      </c>
      <c r="F364" s="7">
        <f>SUMIFS(Лист2!D:D,Лист2!B:B,'общая таблица'!B364,Лист2!A:A,'общая таблица'!A364)</f>
        <v>624</v>
      </c>
      <c r="G364" s="7">
        <f>SUMIFS(Лист2!E:E,Лист2!B:B,'общая таблица'!B364,Лист2!A:A,'общая таблица'!A364)</f>
        <v>538</v>
      </c>
      <c r="H364" s="18">
        <f t="shared" si="10"/>
        <v>11179383536.25</v>
      </c>
      <c r="I364" t="str">
        <f t="shared" si="11"/>
        <v>вторник</v>
      </c>
    </row>
    <row r="365" spans="1:9" ht="14.25" customHeight="1" x14ac:dyDescent="0.3">
      <c r="A365" s="8">
        <v>43964</v>
      </c>
      <c r="B365" s="9" t="s">
        <v>19</v>
      </c>
      <c r="C365" s="21">
        <v>10401</v>
      </c>
      <c r="D365" s="21">
        <v>949912.5</v>
      </c>
      <c r="E365" s="7">
        <f>SUMIFS(Лист2!C:C,Лист2!B:B,'общая таблица'!B365,Лист2!A:A,'общая таблица'!A365)</f>
        <v>15</v>
      </c>
      <c r="F365" s="7">
        <f>SUMIFS(Лист2!D:D,Лист2!B:B,'общая таблица'!B365,Лист2!A:A,'общая таблица'!A365)</f>
        <v>599</v>
      </c>
      <c r="G365" s="7">
        <f>SUMIFS(Лист2!E:E,Лист2!B:B,'общая таблица'!B365,Лист2!A:A,'общая таблица'!A365)</f>
        <v>515</v>
      </c>
      <c r="H365" s="18">
        <f t="shared" si="10"/>
        <v>9880039912.5</v>
      </c>
      <c r="I365" t="str">
        <f t="shared" si="11"/>
        <v>среда</v>
      </c>
    </row>
    <row r="366" spans="1:9" ht="14.25" customHeight="1" x14ac:dyDescent="0.3">
      <c r="A366" s="5">
        <v>43965</v>
      </c>
      <c r="B366" s="6" t="s">
        <v>19</v>
      </c>
      <c r="C366" s="22">
        <v>11161.5</v>
      </c>
      <c r="D366" s="22">
        <v>963502.5</v>
      </c>
      <c r="E366" s="7">
        <f>SUMIFS(Лист2!C:C,Лист2!B:B,'общая таблица'!B366,Лист2!A:A,'общая таблица'!A366)</f>
        <v>15</v>
      </c>
      <c r="F366" s="7">
        <f>SUMIFS(Лист2!D:D,Лист2!B:B,'общая таблица'!B366,Лист2!A:A,'общая таблица'!A366)</f>
        <v>638</v>
      </c>
      <c r="G366" s="7">
        <f>SUMIFS(Лист2!E:E,Лист2!B:B,'общая таблица'!B366,Лист2!A:A,'общая таблица'!A366)</f>
        <v>548</v>
      </c>
      <c r="H366" s="18">
        <f t="shared" si="10"/>
        <v>10754133153.75</v>
      </c>
      <c r="I366" t="str">
        <f t="shared" si="11"/>
        <v>четверг</v>
      </c>
    </row>
    <row r="367" spans="1:9" ht="14.25" customHeight="1" x14ac:dyDescent="0.3">
      <c r="A367" s="8">
        <v>43966</v>
      </c>
      <c r="B367" s="9" t="s">
        <v>19</v>
      </c>
      <c r="C367" s="21">
        <v>12229.5</v>
      </c>
      <c r="D367" s="21">
        <v>1122730.5</v>
      </c>
      <c r="E367" s="7">
        <f>SUMIFS(Лист2!C:C,Лист2!B:B,'общая таблица'!B367,Лист2!A:A,'общая таблица'!A367)</f>
        <v>15</v>
      </c>
      <c r="F367" s="7">
        <f>SUMIFS(Лист2!D:D,Лист2!B:B,'общая таблица'!B367,Лист2!A:A,'общая таблица'!A367)</f>
        <v>688</v>
      </c>
      <c r="G367" s="7">
        <f>SUMIFS(Лист2!E:E,Лист2!B:B,'общая таблица'!B367,Лист2!A:A,'общая таблица'!A367)</f>
        <v>598</v>
      </c>
      <c r="H367" s="18">
        <f t="shared" si="10"/>
        <v>13730432649.75</v>
      </c>
      <c r="I367" t="str">
        <f t="shared" si="11"/>
        <v>пятница</v>
      </c>
    </row>
    <row r="368" spans="1:9" ht="14.25" customHeight="1" x14ac:dyDescent="0.3">
      <c r="A368" s="14">
        <v>43967</v>
      </c>
      <c r="B368" s="16" t="s">
        <v>19</v>
      </c>
      <c r="C368" s="20">
        <v>13120.5</v>
      </c>
      <c r="D368" s="20">
        <v>1215033</v>
      </c>
      <c r="E368" s="7">
        <f>SUMIFS(Лист2!C:C,Лист2!B:B,'общая таблица'!B368,Лист2!A:A,'общая таблица'!A368)</f>
        <v>15</v>
      </c>
      <c r="F368" s="7">
        <f>SUMIFS(Лист2!D:D,Лист2!B:B,'общая таблица'!B368,Лист2!A:A,'общая таблица'!A368)</f>
        <v>747</v>
      </c>
      <c r="G368" s="7">
        <f>SUMIFS(Лист2!E:E,Лист2!B:B,'общая таблица'!B368,Лист2!A:A,'общая таблица'!A368)</f>
        <v>647</v>
      </c>
      <c r="H368" s="18">
        <f t="shared" si="10"/>
        <v>15941840476.5</v>
      </c>
      <c r="I368" t="str">
        <f t="shared" si="11"/>
        <v>суббота</v>
      </c>
    </row>
    <row r="369" spans="1:9" ht="14.25" customHeight="1" x14ac:dyDescent="0.3">
      <c r="A369" s="8">
        <v>43968</v>
      </c>
      <c r="B369" s="9" t="s">
        <v>19</v>
      </c>
      <c r="C369" s="21">
        <v>11967</v>
      </c>
      <c r="D369" s="21">
        <v>1060489.5</v>
      </c>
      <c r="E369" s="7">
        <f>SUMIFS(Лист2!C:C,Лист2!B:B,'общая таблица'!B369,Лист2!A:A,'общая таблица'!A369)</f>
        <v>15</v>
      </c>
      <c r="F369" s="7">
        <f>SUMIFS(Лист2!D:D,Лист2!B:B,'общая таблица'!B369,Лист2!A:A,'общая таблица'!A369)</f>
        <v>692</v>
      </c>
      <c r="G369" s="7">
        <f>SUMIFS(Лист2!E:E,Лист2!B:B,'общая таблица'!B369,Лист2!A:A,'общая таблица'!A369)</f>
        <v>591</v>
      </c>
      <c r="H369" s="18">
        <f t="shared" si="10"/>
        <v>12690877846.5</v>
      </c>
      <c r="I369" t="str">
        <f t="shared" si="11"/>
        <v>воскресенье</v>
      </c>
    </row>
    <row r="370" spans="1:9" ht="14.25" customHeight="1" x14ac:dyDescent="0.3">
      <c r="A370" s="14">
        <v>43969</v>
      </c>
      <c r="B370" s="16" t="s">
        <v>19</v>
      </c>
      <c r="C370" s="20">
        <v>12450</v>
      </c>
      <c r="D370" s="20">
        <v>1115146.5</v>
      </c>
      <c r="E370" s="7">
        <f>SUMIFS(Лист2!C:C,Лист2!B:B,'общая таблица'!B370,Лист2!A:A,'общая таблица'!A370)</f>
        <v>15</v>
      </c>
      <c r="F370" s="7">
        <f>SUMIFS(Лист2!D:D,Лист2!B:B,'общая таблица'!B370,Лист2!A:A,'общая таблица'!A370)</f>
        <v>729</v>
      </c>
      <c r="G370" s="7">
        <f>SUMIFS(Лист2!E:E,Лист2!B:B,'общая таблица'!B370,Лист2!A:A,'общая таблица'!A370)</f>
        <v>636</v>
      </c>
      <c r="H370" s="18">
        <f t="shared" si="10"/>
        <v>13883573925</v>
      </c>
      <c r="I370" t="str">
        <f t="shared" si="11"/>
        <v>понедельник</v>
      </c>
    </row>
    <row r="371" spans="1:9" ht="14.25" customHeight="1" x14ac:dyDescent="0.3">
      <c r="A371" s="15">
        <v>43970</v>
      </c>
      <c r="B371" s="17" t="s">
        <v>19</v>
      </c>
      <c r="C371" s="23">
        <v>16237.5</v>
      </c>
      <c r="D371" s="23">
        <v>1403047.5</v>
      </c>
      <c r="E371" s="7">
        <f>SUMIFS(Лист2!C:C,Лист2!B:B,'общая таблица'!B371,Лист2!A:A,'общая таблица'!A371)</f>
        <v>15</v>
      </c>
      <c r="F371" s="7">
        <f>SUMIFS(Лист2!D:D,Лист2!B:B,'общая таблица'!B371,Лист2!A:A,'общая таблица'!A371)</f>
        <v>930</v>
      </c>
      <c r="G371" s="7">
        <f>SUMIFS(Лист2!E:E,Лист2!B:B,'общая таблица'!B371,Лист2!A:A,'общая таблица'!A371)</f>
        <v>827</v>
      </c>
      <c r="H371" s="18">
        <f t="shared" si="10"/>
        <v>22781983781.25</v>
      </c>
      <c r="I371" t="str">
        <f t="shared" si="11"/>
        <v>вторник</v>
      </c>
    </row>
    <row r="372" spans="1:9" ht="14.25" customHeight="1" x14ac:dyDescent="0.3">
      <c r="A372" s="5">
        <v>43971</v>
      </c>
      <c r="B372" s="6" t="s">
        <v>19</v>
      </c>
      <c r="C372" s="22">
        <v>12630</v>
      </c>
      <c r="D372" s="22">
        <v>1104858</v>
      </c>
      <c r="E372" s="7">
        <f>SUMIFS(Лист2!C:C,Лист2!B:B,'общая таблица'!B372,Лист2!A:A,'общая таблица'!A372)</f>
        <v>15</v>
      </c>
      <c r="F372" s="7">
        <f>SUMIFS(Лист2!D:D,Лист2!B:B,'общая таблица'!B372,Лист2!A:A,'общая таблица'!A372)</f>
        <v>760</v>
      </c>
      <c r="G372" s="7">
        <f>SUMIFS(Лист2!E:E,Лист2!B:B,'общая таблица'!B372,Лист2!A:A,'общая таблица'!A372)</f>
        <v>664</v>
      </c>
      <c r="H372" s="18">
        <f t="shared" si="10"/>
        <v>13954356540</v>
      </c>
      <c r="I372" t="str">
        <f t="shared" si="11"/>
        <v>среда</v>
      </c>
    </row>
    <row r="373" spans="1:9" ht="14.25" customHeight="1" x14ac:dyDescent="0.3">
      <c r="A373" s="8">
        <v>43972</v>
      </c>
      <c r="B373" s="9" t="s">
        <v>19</v>
      </c>
      <c r="C373" s="21">
        <v>12135</v>
      </c>
      <c r="D373" s="21">
        <v>1103623.5</v>
      </c>
      <c r="E373" s="7">
        <f>SUMIFS(Лист2!C:C,Лист2!B:B,'общая таблица'!B373,Лист2!A:A,'общая таблица'!A373)</f>
        <v>15</v>
      </c>
      <c r="F373" s="7">
        <f>SUMIFS(Лист2!D:D,Лист2!B:B,'общая таблица'!B373,Лист2!A:A,'общая таблица'!A373)</f>
        <v>749</v>
      </c>
      <c r="G373" s="7">
        <f>SUMIFS(Лист2!E:E,Лист2!B:B,'общая таблица'!B373,Лист2!A:A,'общая таблица'!A373)</f>
        <v>652</v>
      </c>
      <c r="H373" s="18">
        <f t="shared" si="10"/>
        <v>13392471172.5</v>
      </c>
      <c r="I373" t="str">
        <f t="shared" si="11"/>
        <v>четверг</v>
      </c>
    </row>
    <row r="374" spans="1:9" ht="14.25" customHeight="1" x14ac:dyDescent="0.3">
      <c r="A374" s="14">
        <v>43973</v>
      </c>
      <c r="B374" s="16" t="s">
        <v>19</v>
      </c>
      <c r="C374" s="20">
        <v>15802.5</v>
      </c>
      <c r="D374" s="20">
        <v>1411909.5</v>
      </c>
      <c r="E374" s="7">
        <f>SUMIFS(Лист2!C:C,Лист2!B:B,'общая таблица'!B374,Лист2!A:A,'общая таблица'!A374)</f>
        <v>15</v>
      </c>
      <c r="F374" s="7">
        <f>SUMIFS(Лист2!D:D,Лист2!B:B,'общая таблица'!B374,Лист2!A:A,'общая таблица'!A374)</f>
        <v>903</v>
      </c>
      <c r="G374" s="7">
        <f>SUMIFS(Лист2!E:E,Лист2!B:B,'общая таблица'!B374,Лист2!A:A,'общая таблица'!A374)</f>
        <v>792</v>
      </c>
      <c r="H374" s="18">
        <f t="shared" si="10"/>
        <v>22311699873.75</v>
      </c>
      <c r="I374" t="str">
        <f t="shared" si="11"/>
        <v>пятница</v>
      </c>
    </row>
    <row r="375" spans="1:9" ht="14.25" customHeight="1" x14ac:dyDescent="0.3">
      <c r="A375" s="15">
        <v>43974</v>
      </c>
      <c r="B375" s="17" t="s">
        <v>19</v>
      </c>
      <c r="C375" s="23">
        <v>14167.5</v>
      </c>
      <c r="D375" s="23">
        <v>1315075.5</v>
      </c>
      <c r="E375" s="7">
        <f>SUMIFS(Лист2!C:C,Лист2!B:B,'общая таблица'!B375,Лист2!A:A,'общая таблица'!A375)</f>
        <v>15</v>
      </c>
      <c r="F375" s="7">
        <f>SUMIFS(Лист2!D:D,Лист2!B:B,'общая таблица'!B375,Лист2!A:A,'общая таблица'!A375)</f>
        <v>840</v>
      </c>
      <c r="G375" s="7">
        <f>SUMIFS(Лист2!E:E,Лист2!B:B,'общая таблица'!B375,Лист2!A:A,'общая таблица'!A375)</f>
        <v>725</v>
      </c>
      <c r="H375" s="18">
        <f t="shared" si="10"/>
        <v>18631332146.25</v>
      </c>
      <c r="I375" t="str">
        <f t="shared" si="11"/>
        <v>суббота</v>
      </c>
    </row>
    <row r="376" spans="1:9" ht="14.25" customHeight="1" x14ac:dyDescent="0.3">
      <c r="A376" s="14">
        <v>43975</v>
      </c>
      <c r="B376" s="16" t="s">
        <v>19</v>
      </c>
      <c r="C376" s="20">
        <v>12666</v>
      </c>
      <c r="D376" s="20">
        <v>1184865</v>
      </c>
      <c r="E376" s="7">
        <f>SUMIFS(Лист2!C:C,Лист2!B:B,'общая таблица'!B376,Лист2!A:A,'общая таблица'!A376)</f>
        <v>15</v>
      </c>
      <c r="F376" s="7">
        <f>SUMIFS(Лист2!D:D,Лист2!B:B,'общая таблица'!B376,Лист2!A:A,'общая таблица'!A376)</f>
        <v>779</v>
      </c>
      <c r="G376" s="7">
        <f>SUMIFS(Лист2!E:E,Лист2!B:B,'общая таблица'!B376,Лист2!A:A,'общая таблица'!A376)</f>
        <v>673</v>
      </c>
      <c r="H376" s="18">
        <f t="shared" si="10"/>
        <v>15007500090</v>
      </c>
      <c r="I376" t="str">
        <f t="shared" si="11"/>
        <v>воскресенье</v>
      </c>
    </row>
    <row r="377" spans="1:9" ht="14.25" customHeight="1" x14ac:dyDescent="0.3">
      <c r="A377" s="15">
        <v>43976</v>
      </c>
      <c r="B377" s="17" t="s">
        <v>19</v>
      </c>
      <c r="C377" s="23">
        <v>13260</v>
      </c>
      <c r="D377" s="23">
        <v>1230687</v>
      </c>
      <c r="E377" s="7">
        <f>SUMIFS(Лист2!C:C,Лист2!B:B,'общая таблица'!B377,Лист2!A:A,'общая таблица'!A377)</f>
        <v>15</v>
      </c>
      <c r="F377" s="7">
        <f>SUMIFS(Лист2!D:D,Лист2!B:B,'общая таблица'!B377,Лист2!A:A,'общая таблица'!A377)</f>
        <v>835</v>
      </c>
      <c r="G377" s="7">
        <f>SUMIFS(Лист2!E:E,Лист2!B:B,'общая таблица'!B377,Лист2!A:A,'общая таблица'!A377)</f>
        <v>736</v>
      </c>
      <c r="H377" s="18">
        <f t="shared" si="10"/>
        <v>16318909620</v>
      </c>
      <c r="I377" t="str">
        <f t="shared" si="11"/>
        <v>понедельник</v>
      </c>
    </row>
    <row r="378" spans="1:9" ht="14.25" customHeight="1" x14ac:dyDescent="0.3">
      <c r="A378" s="5">
        <v>43977</v>
      </c>
      <c r="B378" s="6" t="s">
        <v>19</v>
      </c>
      <c r="C378" s="22">
        <v>12259.5</v>
      </c>
      <c r="D378" s="22">
        <v>1152054</v>
      </c>
      <c r="E378" s="7">
        <f>SUMIFS(Лист2!C:C,Лист2!B:B,'общая таблица'!B378,Лист2!A:A,'общая таблица'!A378)</f>
        <v>15</v>
      </c>
      <c r="F378" s="7">
        <f>SUMIFS(Лист2!D:D,Лист2!B:B,'общая таблица'!B378,Лист2!A:A,'общая таблица'!A378)</f>
        <v>812</v>
      </c>
      <c r="G378" s="7">
        <f>SUMIFS(Лист2!E:E,Лист2!B:B,'общая таблица'!B378,Лист2!A:A,'общая таблица'!A378)</f>
        <v>711</v>
      </c>
      <c r="H378" s="18">
        <f t="shared" si="10"/>
        <v>14123606013</v>
      </c>
      <c r="I378" t="str">
        <f t="shared" si="11"/>
        <v>вторник</v>
      </c>
    </row>
    <row r="379" spans="1:9" ht="14.25" customHeight="1" x14ac:dyDescent="0.3">
      <c r="A379" s="15">
        <v>43978</v>
      </c>
      <c r="B379" s="17" t="s">
        <v>19</v>
      </c>
      <c r="C379" s="23">
        <v>13203</v>
      </c>
      <c r="D379" s="23">
        <v>1211457</v>
      </c>
      <c r="E379" s="7">
        <f>SUMIFS(Лист2!C:C,Лист2!B:B,'общая таблица'!B379,Лист2!A:A,'общая таблица'!A379)</f>
        <v>15</v>
      </c>
      <c r="F379" s="7">
        <f>SUMIFS(Лист2!D:D,Лист2!B:B,'общая таблица'!B379,Лист2!A:A,'общая таблица'!A379)</f>
        <v>809</v>
      </c>
      <c r="G379" s="7">
        <f>SUMIFS(Лист2!E:E,Лист2!B:B,'общая таблица'!B379,Лист2!A:A,'общая таблица'!A379)</f>
        <v>702</v>
      </c>
      <c r="H379" s="18">
        <f t="shared" si="10"/>
        <v>15994866771</v>
      </c>
      <c r="I379" t="str">
        <f t="shared" si="11"/>
        <v>среда</v>
      </c>
    </row>
    <row r="380" spans="1:9" ht="14.25" customHeight="1" x14ac:dyDescent="0.3">
      <c r="A380" s="5">
        <v>43979</v>
      </c>
      <c r="B380" s="6" t="s">
        <v>19</v>
      </c>
      <c r="C380" s="22">
        <v>13864.5</v>
      </c>
      <c r="D380" s="22">
        <v>1239747</v>
      </c>
      <c r="E380" s="7">
        <f>SUMIFS(Лист2!C:C,Лист2!B:B,'общая таблица'!B380,Лист2!A:A,'общая таблица'!A380)</f>
        <v>16</v>
      </c>
      <c r="F380" s="7">
        <f>SUMIFS(Лист2!D:D,Лист2!B:B,'общая таблица'!B380,Лист2!A:A,'общая таблица'!A380)</f>
        <v>876</v>
      </c>
      <c r="G380" s="7">
        <f>SUMIFS(Лист2!E:E,Лист2!B:B,'общая таблица'!B380,Лист2!A:A,'общая таблица'!A380)</f>
        <v>762</v>
      </c>
      <c r="H380" s="18">
        <f t="shared" si="10"/>
        <v>17188472281.5</v>
      </c>
      <c r="I380" t="str">
        <f t="shared" si="11"/>
        <v>четверг</v>
      </c>
    </row>
    <row r="381" spans="1:9" ht="14.25" customHeight="1" x14ac:dyDescent="0.3">
      <c r="A381" s="15">
        <v>43980</v>
      </c>
      <c r="B381" s="17" t="s">
        <v>19</v>
      </c>
      <c r="C381" s="23">
        <v>17052</v>
      </c>
      <c r="D381" s="23">
        <v>1549020</v>
      </c>
      <c r="E381" s="7">
        <f>SUMIFS(Лист2!C:C,Лист2!B:B,'общая таблица'!B381,Лист2!A:A,'общая таблица'!A381)</f>
        <v>16</v>
      </c>
      <c r="F381" s="7">
        <f>SUMIFS(Лист2!D:D,Лист2!B:B,'общая таблица'!B381,Лист2!A:A,'общая таблица'!A381)</f>
        <v>981</v>
      </c>
      <c r="G381" s="7">
        <f>SUMIFS(Лист2!E:E,Лист2!B:B,'общая таблица'!B381,Лист2!A:A,'общая таблица'!A381)</f>
        <v>859</v>
      </c>
      <c r="H381" s="18">
        <f t="shared" si="10"/>
        <v>26413889040</v>
      </c>
      <c r="I381" t="str">
        <f t="shared" si="11"/>
        <v>пятница</v>
      </c>
    </row>
    <row r="382" spans="1:9" ht="14.25" customHeight="1" x14ac:dyDescent="0.3">
      <c r="A382" s="14">
        <v>43981</v>
      </c>
      <c r="B382" s="16" t="s">
        <v>19</v>
      </c>
      <c r="C382" s="20">
        <v>17946</v>
      </c>
      <c r="D382" s="20">
        <v>1609090.5</v>
      </c>
      <c r="E382" s="7">
        <f>SUMIFS(Лист2!C:C,Лист2!B:B,'общая таблица'!B382,Лист2!A:A,'общая таблица'!A382)</f>
        <v>16</v>
      </c>
      <c r="F382" s="7">
        <f>SUMIFS(Лист2!D:D,Лист2!B:B,'общая таблица'!B382,Лист2!A:A,'общая таблица'!A382)</f>
        <v>1048</v>
      </c>
      <c r="G382" s="7">
        <f>SUMIFS(Лист2!E:E,Лист2!B:B,'общая таблица'!B382,Лист2!A:A,'общая таблица'!A382)</f>
        <v>918</v>
      </c>
      <c r="H382" s="18">
        <f t="shared" si="10"/>
        <v>28876738113</v>
      </c>
      <c r="I382" t="str">
        <f t="shared" si="11"/>
        <v>суббота</v>
      </c>
    </row>
    <row r="383" spans="1:9" ht="14.25" customHeight="1" x14ac:dyDescent="0.3">
      <c r="A383" s="8">
        <v>43982</v>
      </c>
      <c r="B383" s="9" t="s">
        <v>19</v>
      </c>
      <c r="C383" s="21">
        <v>14808</v>
      </c>
      <c r="D383" s="21">
        <v>1336789.5</v>
      </c>
      <c r="E383" s="7">
        <f>SUMIFS(Лист2!C:C,Лист2!B:B,'общая таблица'!B383,Лист2!A:A,'общая таблица'!A383)</f>
        <v>16</v>
      </c>
      <c r="F383" s="7">
        <f>SUMIFS(Лист2!D:D,Лист2!B:B,'общая таблица'!B383,Лист2!A:A,'общая таблица'!A383)</f>
        <v>917</v>
      </c>
      <c r="G383" s="7">
        <f>SUMIFS(Лист2!E:E,Лист2!B:B,'общая таблица'!B383,Лист2!A:A,'общая таблица'!A383)</f>
        <v>802</v>
      </c>
      <c r="H383" s="18">
        <f t="shared" si="10"/>
        <v>19795178916</v>
      </c>
      <c r="I383" t="str">
        <f t="shared" si="11"/>
        <v>воскресенье</v>
      </c>
    </row>
    <row r="384" spans="1:9" ht="14.25" customHeight="1" x14ac:dyDescent="0.3">
      <c r="A384" s="5">
        <v>43983</v>
      </c>
      <c r="B384" s="6" t="s">
        <v>19</v>
      </c>
      <c r="C384" s="22">
        <v>16476</v>
      </c>
      <c r="D384" s="22">
        <v>1565632.5</v>
      </c>
      <c r="E384" s="7">
        <f>SUMIFS(Лист2!C:C,Лист2!B:B,'общая таблица'!B384,Лист2!A:A,'общая таблица'!A384)</f>
        <v>16</v>
      </c>
      <c r="F384" s="7">
        <f>SUMIFS(Лист2!D:D,Лист2!B:B,'общая таблица'!B384,Лист2!A:A,'общая таблица'!A384)</f>
        <v>1019</v>
      </c>
      <c r="G384" s="7">
        <f>SUMIFS(Лист2!E:E,Лист2!B:B,'общая таблица'!B384,Лист2!A:A,'общая таблица'!A384)</f>
        <v>895</v>
      </c>
      <c r="H384" s="18">
        <f t="shared" si="10"/>
        <v>25795361070</v>
      </c>
      <c r="I384" t="str">
        <f t="shared" si="11"/>
        <v>понедельник</v>
      </c>
    </row>
    <row r="385" spans="1:9" ht="14.25" customHeight="1" x14ac:dyDescent="0.3">
      <c r="A385" s="15">
        <v>43979</v>
      </c>
      <c r="B385" s="17" t="s">
        <v>9</v>
      </c>
      <c r="C385" s="23">
        <v>8536.5</v>
      </c>
      <c r="D385" s="23">
        <v>643944</v>
      </c>
      <c r="E385" s="7">
        <f>SUMIFS(Лист2!C:C,Лист2!B:B,'общая таблица'!B385,Лист2!A:A,'общая таблица'!A385)</f>
        <v>15</v>
      </c>
      <c r="F385" s="7">
        <f>SUMIFS(Лист2!D:D,Лист2!B:B,'общая таблица'!B385,Лист2!A:A,'общая таблица'!A385)</f>
        <v>464</v>
      </c>
      <c r="G385" s="7">
        <f>SUMIFS(Лист2!E:E,Лист2!B:B,'общая таблица'!B385,Лист2!A:A,'общая таблица'!A385)</f>
        <v>390</v>
      </c>
      <c r="H385" s="18">
        <f t="shared" si="10"/>
        <v>5497027956</v>
      </c>
      <c r="I385" t="str">
        <f t="shared" si="11"/>
        <v>четверг</v>
      </c>
    </row>
    <row r="386" spans="1:9" ht="14.25" customHeight="1" x14ac:dyDescent="0.3">
      <c r="A386" s="5">
        <v>43980</v>
      </c>
      <c r="B386" s="6" t="s">
        <v>9</v>
      </c>
      <c r="C386" s="22">
        <v>8350.5</v>
      </c>
      <c r="D386" s="22">
        <v>651237</v>
      </c>
      <c r="E386" s="7">
        <f>SUMIFS(Лист2!C:C,Лист2!B:B,'общая таблица'!B386,Лист2!A:A,'общая таблица'!A386)</f>
        <v>15</v>
      </c>
      <c r="F386" s="7">
        <f>SUMIFS(Лист2!D:D,Лист2!B:B,'общая таблица'!B386,Лист2!A:A,'общая таблица'!A386)</f>
        <v>400</v>
      </c>
      <c r="G386" s="7">
        <f>SUMIFS(Лист2!E:E,Лист2!B:B,'общая таблица'!B386,Лист2!A:A,'общая таблица'!A386)</f>
        <v>329</v>
      </c>
      <c r="H386" s="18">
        <f t="shared" si="10"/>
        <v>5438154568.5</v>
      </c>
      <c r="I386" t="str">
        <f t="shared" si="11"/>
        <v>пятница</v>
      </c>
    </row>
    <row r="387" spans="1:9" ht="14.25" customHeight="1" x14ac:dyDescent="0.3">
      <c r="A387" s="8">
        <v>43981</v>
      </c>
      <c r="B387" s="9" t="s">
        <v>9</v>
      </c>
      <c r="C387" s="21">
        <v>10029</v>
      </c>
      <c r="D387" s="21">
        <v>787101</v>
      </c>
      <c r="E387" s="7">
        <f>SUMIFS(Лист2!C:C,Лист2!B:B,'общая таблица'!B387,Лист2!A:A,'общая таблица'!A387)</f>
        <v>15</v>
      </c>
      <c r="F387" s="7">
        <f>SUMIFS(Лист2!D:D,Лист2!B:B,'общая таблица'!B387,Лист2!A:A,'общая таблица'!A387)</f>
        <v>490</v>
      </c>
      <c r="G387" s="7">
        <f>SUMIFS(Лист2!E:E,Лист2!B:B,'общая таблица'!B387,Лист2!A:A,'общая таблица'!A387)</f>
        <v>409</v>
      </c>
      <c r="H387" s="18">
        <f t="shared" ref="H387:H450" si="12">C387*D387</f>
        <v>7893835929</v>
      </c>
      <c r="I387" t="str">
        <f t="shared" ref="I387:I450" si="13">TEXT(A387,"дддд")</f>
        <v>суббота</v>
      </c>
    </row>
    <row r="388" spans="1:9" ht="14.25" customHeight="1" x14ac:dyDescent="0.3">
      <c r="A388" s="5">
        <v>43982</v>
      </c>
      <c r="B388" s="6" t="s">
        <v>9</v>
      </c>
      <c r="C388" s="22">
        <v>7944</v>
      </c>
      <c r="D388" s="22">
        <v>623971.5</v>
      </c>
      <c r="E388" s="7">
        <f>SUMIFS(Лист2!C:C,Лист2!B:B,'общая таблица'!B388,Лист2!A:A,'общая таблица'!A388)</f>
        <v>15</v>
      </c>
      <c r="F388" s="7">
        <f>SUMIFS(Лист2!D:D,Лист2!B:B,'общая таблица'!B388,Лист2!A:A,'общая таблица'!A388)</f>
        <v>441</v>
      </c>
      <c r="G388" s="7">
        <f>SUMIFS(Лист2!E:E,Лист2!B:B,'общая таблица'!B388,Лист2!A:A,'общая таблица'!A388)</f>
        <v>368</v>
      </c>
      <c r="H388" s="18">
        <f t="shared" si="12"/>
        <v>4956829596</v>
      </c>
      <c r="I388" t="str">
        <f t="shared" si="13"/>
        <v>воскресенье</v>
      </c>
    </row>
    <row r="389" spans="1:9" ht="14.25" customHeight="1" x14ac:dyDescent="0.3">
      <c r="A389" s="8">
        <v>43983</v>
      </c>
      <c r="B389" s="9" t="s">
        <v>9</v>
      </c>
      <c r="C389" s="21">
        <v>7816.5</v>
      </c>
      <c r="D389" s="21">
        <v>636345</v>
      </c>
      <c r="E389" s="7">
        <f>SUMIFS(Лист2!C:C,Лист2!B:B,'общая таблица'!B389,Лист2!A:A,'общая таблица'!A389)</f>
        <v>15</v>
      </c>
      <c r="F389" s="7">
        <f>SUMIFS(Лист2!D:D,Лист2!B:B,'общая таблица'!B389,Лист2!A:A,'общая таблица'!A389)</f>
        <v>453</v>
      </c>
      <c r="G389" s="7">
        <f>SUMIFS(Лист2!E:E,Лист2!B:B,'общая таблица'!B389,Лист2!A:A,'общая таблица'!A389)</f>
        <v>370</v>
      </c>
      <c r="H389" s="18">
        <f t="shared" si="12"/>
        <v>4973990692.5</v>
      </c>
      <c r="I389" t="str">
        <f t="shared" si="13"/>
        <v>понедельник</v>
      </c>
    </row>
    <row r="390" spans="1:9" ht="14.25" customHeight="1" x14ac:dyDescent="0.3">
      <c r="A390" s="5">
        <v>43949</v>
      </c>
      <c r="B390" s="6" t="s">
        <v>15</v>
      </c>
      <c r="C390" s="22">
        <v>376060.5</v>
      </c>
      <c r="D390" s="22">
        <v>39918028.5</v>
      </c>
      <c r="E390" s="7">
        <f>SUMIFS(Лист2!C:C,Лист2!B:B,'общая таблица'!B390,Лист2!A:A,'общая таблица'!A390)</f>
        <v>125</v>
      </c>
      <c r="F390" s="7">
        <f>SUMIFS(Лист2!D:D,Лист2!B:B,'общая таблица'!B390,Лист2!A:A,'общая таблица'!A390)</f>
        <v>20914</v>
      </c>
      <c r="G390" s="7">
        <f>SUMIFS(Лист2!E:E,Лист2!B:B,'общая таблица'!B390,Лист2!A:A,'общая таблица'!A390)</f>
        <v>19479</v>
      </c>
      <c r="H390" s="18">
        <f t="shared" si="12"/>
        <v>15011593756724.25</v>
      </c>
      <c r="I390" t="str">
        <f t="shared" si="13"/>
        <v>вторник</v>
      </c>
    </row>
    <row r="391" spans="1:9" ht="14.25" customHeight="1" x14ac:dyDescent="0.3">
      <c r="A391" s="15">
        <v>43950</v>
      </c>
      <c r="B391" s="17" t="s">
        <v>15</v>
      </c>
      <c r="C391" s="23">
        <v>387220.5</v>
      </c>
      <c r="D391" s="23">
        <v>41559384</v>
      </c>
      <c r="E391" s="7">
        <f>SUMIFS(Лист2!C:C,Лист2!B:B,'общая таблица'!B391,Лист2!A:A,'общая таблица'!A391)</f>
        <v>125</v>
      </c>
      <c r="F391" s="7">
        <f>SUMIFS(Лист2!D:D,Лист2!B:B,'общая таблица'!B391,Лист2!A:A,'общая таблица'!A391)</f>
        <v>21863</v>
      </c>
      <c r="G391" s="7">
        <f>SUMIFS(Лист2!E:E,Лист2!B:B,'общая таблица'!B391,Лист2!A:A,'общая таблица'!A391)</f>
        <v>20160</v>
      </c>
      <c r="H391" s="18">
        <f t="shared" si="12"/>
        <v>16092645452172</v>
      </c>
      <c r="I391" t="str">
        <f t="shared" si="13"/>
        <v>среда</v>
      </c>
    </row>
    <row r="392" spans="1:9" ht="14.25" customHeight="1" x14ac:dyDescent="0.3">
      <c r="A392" s="14">
        <v>43951</v>
      </c>
      <c r="B392" s="16" t="s">
        <v>15</v>
      </c>
      <c r="C392" s="20">
        <v>401580</v>
      </c>
      <c r="D392" s="20">
        <v>43028734.5</v>
      </c>
      <c r="E392" s="7">
        <f>SUMIFS(Лист2!C:C,Лист2!B:B,'общая таблица'!B392,Лист2!A:A,'общая таблица'!A392)</f>
        <v>125</v>
      </c>
      <c r="F392" s="7">
        <f>SUMIFS(Лист2!D:D,Лист2!B:B,'общая таблица'!B392,Лист2!A:A,'общая таблица'!A392)</f>
        <v>22368</v>
      </c>
      <c r="G392" s="7">
        <f>SUMIFS(Лист2!E:E,Лист2!B:B,'общая таблица'!B392,Лист2!A:A,'общая таблица'!A392)</f>
        <v>20625</v>
      </c>
      <c r="H392" s="18">
        <f t="shared" si="12"/>
        <v>17279479200510</v>
      </c>
      <c r="I392" t="str">
        <f t="shared" si="13"/>
        <v>четверг</v>
      </c>
    </row>
    <row r="393" spans="1:9" ht="14.25" customHeight="1" x14ac:dyDescent="0.3">
      <c r="A393" s="8">
        <v>43952</v>
      </c>
      <c r="B393" s="9" t="s">
        <v>15</v>
      </c>
      <c r="C393" s="21">
        <v>372504</v>
      </c>
      <c r="D393" s="21">
        <v>40077193.5</v>
      </c>
      <c r="E393" s="7">
        <f>SUMIFS(Лист2!C:C,Лист2!B:B,'общая таблица'!B393,Лист2!A:A,'общая таблица'!A393)</f>
        <v>125</v>
      </c>
      <c r="F393" s="7">
        <f>SUMIFS(Лист2!D:D,Лист2!B:B,'общая таблица'!B393,Лист2!A:A,'общая таблица'!A393)</f>
        <v>20602</v>
      </c>
      <c r="G393" s="7">
        <f>SUMIFS(Лист2!E:E,Лист2!B:B,'общая таблица'!B393,Лист2!A:A,'общая таблица'!A393)</f>
        <v>18845</v>
      </c>
      <c r="H393" s="18">
        <f t="shared" si="12"/>
        <v>14928914887524</v>
      </c>
      <c r="I393" t="str">
        <f t="shared" si="13"/>
        <v>пятница</v>
      </c>
    </row>
    <row r="394" spans="1:9" ht="14.25" customHeight="1" x14ac:dyDescent="0.3">
      <c r="A394" s="14">
        <v>43953</v>
      </c>
      <c r="B394" s="16" t="s">
        <v>15</v>
      </c>
      <c r="C394" s="20">
        <v>296580</v>
      </c>
      <c r="D394" s="20">
        <v>31843737</v>
      </c>
      <c r="E394" s="7">
        <f>SUMIFS(Лист2!C:C,Лист2!B:B,'общая таблица'!B394,Лист2!A:A,'общая таблица'!A394)</f>
        <v>125</v>
      </c>
      <c r="F394" s="7">
        <f>SUMIFS(Лист2!D:D,Лист2!B:B,'общая таблица'!B394,Лист2!A:A,'общая таблица'!A394)</f>
        <v>16932</v>
      </c>
      <c r="G394" s="7">
        <f>SUMIFS(Лист2!E:E,Лист2!B:B,'общая таблица'!B394,Лист2!A:A,'общая таблица'!A394)</f>
        <v>15601</v>
      </c>
      <c r="H394" s="18">
        <f t="shared" si="12"/>
        <v>9444215519460</v>
      </c>
      <c r="I394" t="str">
        <f t="shared" si="13"/>
        <v>суббота</v>
      </c>
    </row>
    <row r="395" spans="1:9" ht="14.25" customHeight="1" x14ac:dyDescent="0.3">
      <c r="A395" s="8">
        <v>43954</v>
      </c>
      <c r="B395" s="9" t="s">
        <v>15</v>
      </c>
      <c r="C395" s="21">
        <v>342666</v>
      </c>
      <c r="D395" s="21">
        <v>36631999.5</v>
      </c>
      <c r="E395" s="7">
        <f>SUMIFS(Лист2!C:C,Лист2!B:B,'общая таблица'!B395,Лист2!A:A,'общая таблица'!A395)</f>
        <v>125</v>
      </c>
      <c r="F395" s="7">
        <f>SUMIFS(Лист2!D:D,Лист2!B:B,'общая таблица'!B395,Лист2!A:A,'общая таблица'!A395)</f>
        <v>18861</v>
      </c>
      <c r="G395" s="7">
        <f>SUMIFS(Лист2!E:E,Лист2!B:B,'общая таблица'!B395,Лист2!A:A,'общая таблица'!A395)</f>
        <v>17420</v>
      </c>
      <c r="H395" s="18">
        <f t="shared" si="12"/>
        <v>12552540740667</v>
      </c>
      <c r="I395" t="str">
        <f t="shared" si="13"/>
        <v>воскресенье</v>
      </c>
    </row>
    <row r="396" spans="1:9" ht="14.25" customHeight="1" x14ac:dyDescent="0.3">
      <c r="A396" s="14">
        <v>43955</v>
      </c>
      <c r="B396" s="16" t="s">
        <v>15</v>
      </c>
      <c r="C396" s="20">
        <v>360255</v>
      </c>
      <c r="D396" s="20">
        <v>38406954</v>
      </c>
      <c r="E396" s="7">
        <f>SUMIFS(Лист2!C:C,Лист2!B:B,'общая таблица'!B396,Лист2!A:A,'общая таблица'!A396)</f>
        <v>125</v>
      </c>
      <c r="F396" s="7">
        <f>SUMIFS(Лист2!D:D,Лист2!B:B,'общая таблица'!B396,Лист2!A:A,'общая таблица'!A396)</f>
        <v>20495</v>
      </c>
      <c r="G396" s="7">
        <f>SUMIFS(Лист2!E:E,Лист2!B:B,'общая таблица'!B396,Лист2!A:A,'общая таблица'!A396)</f>
        <v>18964</v>
      </c>
      <c r="H396" s="18">
        <f t="shared" si="12"/>
        <v>13836297213270</v>
      </c>
      <c r="I396" t="str">
        <f t="shared" si="13"/>
        <v>понедельник</v>
      </c>
    </row>
    <row r="397" spans="1:9" ht="14.25" customHeight="1" x14ac:dyDescent="0.3">
      <c r="A397" s="8">
        <v>43956</v>
      </c>
      <c r="B397" s="9" t="s">
        <v>15</v>
      </c>
      <c r="C397" s="21">
        <v>333792</v>
      </c>
      <c r="D397" s="21">
        <v>35671734</v>
      </c>
      <c r="E397" s="7">
        <f>SUMIFS(Лист2!C:C,Лист2!B:B,'общая таблица'!B397,Лист2!A:A,'общая таблица'!A397)</f>
        <v>125</v>
      </c>
      <c r="F397" s="7">
        <f>SUMIFS(Лист2!D:D,Лист2!B:B,'общая таблица'!B397,Лист2!A:A,'общая таблица'!A397)</f>
        <v>18944</v>
      </c>
      <c r="G397" s="7">
        <f>SUMIFS(Лист2!E:E,Лист2!B:B,'общая таблица'!B397,Лист2!A:A,'общая таблица'!A397)</f>
        <v>17541</v>
      </c>
      <c r="H397" s="18">
        <f t="shared" si="12"/>
        <v>11906939435328</v>
      </c>
      <c r="I397" t="str">
        <f t="shared" si="13"/>
        <v>вторник</v>
      </c>
    </row>
    <row r="398" spans="1:9" ht="14.25" customHeight="1" x14ac:dyDescent="0.3">
      <c r="A398" s="14">
        <v>43957</v>
      </c>
      <c r="B398" s="16" t="s">
        <v>15</v>
      </c>
      <c r="C398" s="20">
        <v>355278</v>
      </c>
      <c r="D398" s="20">
        <v>38092344</v>
      </c>
      <c r="E398" s="7">
        <f>SUMIFS(Лист2!C:C,Лист2!B:B,'общая таблица'!B398,Лист2!A:A,'общая таблица'!A398)</f>
        <v>125</v>
      </c>
      <c r="F398" s="7">
        <f>SUMIFS(Лист2!D:D,Лист2!B:B,'общая таблица'!B398,Лист2!A:A,'общая таблица'!A398)</f>
        <v>20218</v>
      </c>
      <c r="G398" s="7">
        <f>SUMIFS(Лист2!E:E,Лист2!B:B,'общая таблица'!B398,Лист2!A:A,'общая таблица'!A398)</f>
        <v>18647</v>
      </c>
      <c r="H398" s="18">
        <f t="shared" si="12"/>
        <v>13533371791632</v>
      </c>
      <c r="I398" t="str">
        <f t="shared" si="13"/>
        <v>среда</v>
      </c>
    </row>
    <row r="399" spans="1:9" ht="14.25" customHeight="1" x14ac:dyDescent="0.3">
      <c r="A399" s="15">
        <v>43958</v>
      </c>
      <c r="B399" s="17" t="s">
        <v>15</v>
      </c>
      <c r="C399" s="23">
        <v>319110</v>
      </c>
      <c r="D399" s="23">
        <v>33763989</v>
      </c>
      <c r="E399" s="7">
        <f>SUMIFS(Лист2!C:C,Лист2!B:B,'общая таблица'!B399,Лист2!A:A,'общая таблица'!A399)</f>
        <v>125</v>
      </c>
      <c r="F399" s="7">
        <f>SUMIFS(Лист2!D:D,Лист2!B:B,'общая таблица'!B399,Лист2!A:A,'общая таблица'!A399)</f>
        <v>18014</v>
      </c>
      <c r="G399" s="7">
        <f>SUMIFS(Лист2!E:E,Лист2!B:B,'общая таблица'!B399,Лист2!A:A,'общая таблица'!A399)</f>
        <v>16675</v>
      </c>
      <c r="H399" s="18">
        <f t="shared" si="12"/>
        <v>10774426529790</v>
      </c>
      <c r="I399" t="str">
        <f t="shared" si="13"/>
        <v>четверг</v>
      </c>
    </row>
    <row r="400" spans="1:9" ht="14.25" customHeight="1" x14ac:dyDescent="0.3">
      <c r="A400" s="14">
        <v>43959</v>
      </c>
      <c r="B400" s="16" t="s">
        <v>15</v>
      </c>
      <c r="C400" s="20">
        <v>463530</v>
      </c>
      <c r="D400" s="20">
        <v>49123180.5</v>
      </c>
      <c r="E400" s="7">
        <f>SUMIFS(Лист2!C:C,Лист2!B:B,'общая таблица'!B400,Лист2!A:A,'общая таблица'!A400)</f>
        <v>125</v>
      </c>
      <c r="F400" s="7">
        <f>SUMIFS(Лист2!D:D,Лист2!B:B,'общая таблица'!B400,Лист2!A:A,'общая таблица'!A400)</f>
        <v>24620</v>
      </c>
      <c r="G400" s="7">
        <f>SUMIFS(Лист2!E:E,Лист2!B:B,'общая таблица'!B400,Лист2!A:A,'общая таблица'!A400)</f>
        <v>22641</v>
      </c>
      <c r="H400" s="18">
        <f t="shared" si="12"/>
        <v>22770067857165</v>
      </c>
      <c r="I400" t="str">
        <f t="shared" si="13"/>
        <v>пятница</v>
      </c>
    </row>
    <row r="401" spans="1:9" ht="14.25" customHeight="1" x14ac:dyDescent="0.3">
      <c r="A401" s="15">
        <v>43960</v>
      </c>
      <c r="B401" s="17" t="s">
        <v>15</v>
      </c>
      <c r="C401" s="23">
        <v>359214</v>
      </c>
      <c r="D401" s="23">
        <v>38693427</v>
      </c>
      <c r="E401" s="7">
        <f>SUMIFS(Лист2!C:C,Лист2!B:B,'общая таблица'!B401,Лист2!A:A,'общая таблица'!A401)</f>
        <v>125</v>
      </c>
      <c r="F401" s="7">
        <f>SUMIFS(Лист2!D:D,Лист2!B:B,'общая таблица'!B401,Лист2!A:A,'общая таблица'!A401)</f>
        <v>20132</v>
      </c>
      <c r="G401" s="7">
        <f>SUMIFS(Лист2!E:E,Лист2!B:B,'общая таблица'!B401,Лист2!A:A,'общая таблица'!A401)</f>
        <v>18617</v>
      </c>
      <c r="H401" s="18">
        <f t="shared" si="12"/>
        <v>13899220686378</v>
      </c>
      <c r="I401" t="str">
        <f t="shared" si="13"/>
        <v>суббота</v>
      </c>
    </row>
    <row r="402" spans="1:9" ht="14.25" customHeight="1" x14ac:dyDescent="0.3">
      <c r="A402" s="5">
        <v>43961</v>
      </c>
      <c r="B402" s="6" t="s">
        <v>15</v>
      </c>
      <c r="C402" s="22">
        <v>368649</v>
      </c>
      <c r="D402" s="22">
        <v>39010875</v>
      </c>
      <c r="E402" s="7">
        <f>SUMIFS(Лист2!C:C,Лист2!B:B,'общая таблица'!B402,Лист2!A:A,'общая таблица'!A402)</f>
        <v>125</v>
      </c>
      <c r="F402" s="7">
        <f>SUMIFS(Лист2!D:D,Лист2!B:B,'общая таблица'!B402,Лист2!A:A,'общая таблица'!A402)</f>
        <v>20368</v>
      </c>
      <c r="G402" s="7">
        <f>SUMIFS(Лист2!E:E,Лист2!B:B,'общая таблица'!B402,Лист2!A:A,'общая таблица'!A402)</f>
        <v>18884</v>
      </c>
      <c r="H402" s="18">
        <f t="shared" si="12"/>
        <v>14381320057875</v>
      </c>
      <c r="I402" t="str">
        <f t="shared" si="13"/>
        <v>воскресенье</v>
      </c>
    </row>
    <row r="403" spans="1:9" ht="14.25" customHeight="1" x14ac:dyDescent="0.3">
      <c r="A403" s="8">
        <v>43962</v>
      </c>
      <c r="B403" s="9" t="s">
        <v>15</v>
      </c>
      <c r="C403" s="21">
        <v>318565.5</v>
      </c>
      <c r="D403" s="21">
        <v>33781581</v>
      </c>
      <c r="E403" s="7">
        <f>SUMIFS(Лист2!C:C,Лист2!B:B,'общая таблица'!B403,Лист2!A:A,'общая таблица'!A403)</f>
        <v>125</v>
      </c>
      <c r="F403" s="7">
        <f>SUMIFS(Лист2!D:D,Лист2!B:B,'общая таблица'!B403,Лист2!A:A,'общая таблица'!A403)</f>
        <v>18066</v>
      </c>
      <c r="G403" s="7">
        <f>SUMIFS(Лист2!E:E,Лист2!B:B,'общая таблица'!B403,Лист2!A:A,'общая таблица'!A403)</f>
        <v>16883</v>
      </c>
      <c r="H403" s="18">
        <f t="shared" si="12"/>
        <v>10761646242055.5</v>
      </c>
      <c r="I403" t="str">
        <f t="shared" si="13"/>
        <v>понедельник</v>
      </c>
    </row>
    <row r="404" spans="1:9" ht="14.25" customHeight="1" x14ac:dyDescent="0.3">
      <c r="A404" s="5">
        <v>43963</v>
      </c>
      <c r="B404" s="6" t="s">
        <v>15</v>
      </c>
      <c r="C404" s="22">
        <v>373392</v>
      </c>
      <c r="D404" s="22">
        <v>39578577</v>
      </c>
      <c r="E404" s="7">
        <f>SUMIFS(Лист2!C:C,Лист2!B:B,'общая таблица'!B404,Лист2!A:A,'общая таблица'!A404)</f>
        <v>125</v>
      </c>
      <c r="F404" s="7">
        <f>SUMIFS(Лист2!D:D,Лист2!B:B,'общая таблица'!B404,Лист2!A:A,'общая таблица'!A404)</f>
        <v>21106</v>
      </c>
      <c r="G404" s="7">
        <f>SUMIFS(Лист2!E:E,Лист2!B:B,'общая таблица'!B404,Лист2!A:A,'общая таблица'!A404)</f>
        <v>19651</v>
      </c>
      <c r="H404" s="18">
        <f t="shared" si="12"/>
        <v>14778324023184</v>
      </c>
      <c r="I404" t="str">
        <f t="shared" si="13"/>
        <v>вторник</v>
      </c>
    </row>
    <row r="405" spans="1:9" ht="14.25" customHeight="1" x14ac:dyDescent="0.3">
      <c r="A405" s="8">
        <v>43964</v>
      </c>
      <c r="B405" s="9" t="s">
        <v>15</v>
      </c>
      <c r="C405" s="21">
        <v>350068.5</v>
      </c>
      <c r="D405" s="21">
        <v>37197115.5</v>
      </c>
      <c r="E405" s="7">
        <f>SUMIFS(Лист2!C:C,Лист2!B:B,'общая таблица'!B405,Лист2!A:A,'общая таблица'!A405)</f>
        <v>125</v>
      </c>
      <c r="F405" s="7">
        <f>SUMIFS(Лист2!D:D,Лист2!B:B,'общая таблица'!B405,Лист2!A:A,'общая таблица'!A405)</f>
        <v>19965</v>
      </c>
      <c r="G405" s="7">
        <f>SUMIFS(Лист2!E:E,Лист2!B:B,'общая таблица'!B405,Лист2!A:A,'общая таблица'!A405)</f>
        <v>18573</v>
      </c>
      <c r="H405" s="18">
        <f t="shared" si="12"/>
        <v>13021538427411.75</v>
      </c>
      <c r="I405" t="str">
        <f t="shared" si="13"/>
        <v>среда</v>
      </c>
    </row>
    <row r="406" spans="1:9" ht="14.25" customHeight="1" x14ac:dyDescent="0.3">
      <c r="A406" s="5">
        <v>43965</v>
      </c>
      <c r="B406" s="6" t="s">
        <v>15</v>
      </c>
      <c r="C406" s="22">
        <v>358387.5</v>
      </c>
      <c r="D406" s="22">
        <v>37963150.5</v>
      </c>
      <c r="E406" s="7">
        <f>SUMIFS(Лист2!C:C,Лист2!B:B,'общая таблица'!B406,Лист2!A:A,'общая таблица'!A406)</f>
        <v>125</v>
      </c>
      <c r="F406" s="7">
        <f>SUMIFS(Лист2!D:D,Лист2!B:B,'общая таблица'!B406,Лист2!A:A,'общая таблица'!A406)</f>
        <v>20247</v>
      </c>
      <c r="G406" s="7">
        <f>SUMIFS(Лист2!E:E,Лист2!B:B,'общая таблица'!B406,Лист2!A:A,'общая таблица'!A406)</f>
        <v>18812</v>
      </c>
      <c r="H406" s="18">
        <f t="shared" si="12"/>
        <v>13605518599818.75</v>
      </c>
      <c r="I406" t="str">
        <f t="shared" si="13"/>
        <v>четверг</v>
      </c>
    </row>
    <row r="407" spans="1:9" ht="14.25" customHeight="1" x14ac:dyDescent="0.3">
      <c r="A407" s="8">
        <v>43966</v>
      </c>
      <c r="B407" s="9" t="s">
        <v>15</v>
      </c>
      <c r="C407" s="21">
        <v>403261.5</v>
      </c>
      <c r="D407" s="21">
        <v>42271377</v>
      </c>
      <c r="E407" s="7">
        <f>SUMIFS(Лист2!C:C,Лист2!B:B,'общая таблица'!B407,Лист2!A:A,'общая таблица'!A407)</f>
        <v>125</v>
      </c>
      <c r="F407" s="7">
        <f>SUMIFS(Лист2!D:D,Лист2!B:B,'общая таблица'!B407,Лист2!A:A,'общая таблица'!A407)</f>
        <v>21862</v>
      </c>
      <c r="G407" s="7">
        <f>SUMIFS(Лист2!E:E,Лист2!B:B,'общая таблица'!B407,Лист2!A:A,'общая таблица'!A407)</f>
        <v>20235</v>
      </c>
      <c r="H407" s="18">
        <f t="shared" si="12"/>
        <v>17046418896085.5</v>
      </c>
      <c r="I407" t="str">
        <f t="shared" si="13"/>
        <v>пятница</v>
      </c>
    </row>
    <row r="408" spans="1:9" ht="14.25" customHeight="1" x14ac:dyDescent="0.3">
      <c r="A408" s="14">
        <v>43967</v>
      </c>
      <c r="B408" s="16" t="s">
        <v>15</v>
      </c>
      <c r="C408" s="20">
        <v>408810</v>
      </c>
      <c r="D408" s="20">
        <v>42323631</v>
      </c>
      <c r="E408" s="7">
        <f>SUMIFS(Лист2!C:C,Лист2!B:B,'общая таблица'!B408,Лист2!A:A,'общая таблица'!A408)</f>
        <v>125</v>
      </c>
      <c r="F408" s="7">
        <f>SUMIFS(Лист2!D:D,Лист2!B:B,'общая таблица'!B408,Лист2!A:A,'общая таблица'!A408)</f>
        <v>22291</v>
      </c>
      <c r="G408" s="7">
        <f>SUMIFS(Лист2!E:E,Лист2!B:B,'общая таблица'!B408,Лист2!A:A,'общая таблица'!A408)</f>
        <v>20635</v>
      </c>
      <c r="H408" s="18">
        <f t="shared" si="12"/>
        <v>17302323589110</v>
      </c>
      <c r="I408" t="str">
        <f t="shared" si="13"/>
        <v>суббота</v>
      </c>
    </row>
    <row r="409" spans="1:9" ht="14.25" customHeight="1" x14ac:dyDescent="0.3">
      <c r="A409" s="8">
        <v>43968</v>
      </c>
      <c r="B409" s="9" t="s">
        <v>15</v>
      </c>
      <c r="C409" s="21">
        <v>357072</v>
      </c>
      <c r="D409" s="21">
        <v>36834567</v>
      </c>
      <c r="E409" s="7">
        <f>SUMIFS(Лист2!C:C,Лист2!B:B,'общая таблица'!B409,Лист2!A:A,'общая таблица'!A409)</f>
        <v>125</v>
      </c>
      <c r="F409" s="7">
        <f>SUMIFS(Лист2!D:D,Лист2!B:B,'общая таблица'!B409,Лист2!A:A,'общая таблица'!A409)</f>
        <v>20079</v>
      </c>
      <c r="G409" s="7">
        <f>SUMIFS(Лист2!E:E,Лист2!B:B,'общая таблица'!B409,Лист2!A:A,'общая таблица'!A409)</f>
        <v>18721</v>
      </c>
      <c r="H409" s="18">
        <f t="shared" si="12"/>
        <v>13152592507824</v>
      </c>
      <c r="I409" t="str">
        <f t="shared" si="13"/>
        <v>воскресенье</v>
      </c>
    </row>
    <row r="410" spans="1:9" ht="14.25" customHeight="1" x14ac:dyDescent="0.3">
      <c r="A410" s="14">
        <v>43969</v>
      </c>
      <c r="B410" s="16" t="s">
        <v>15</v>
      </c>
      <c r="C410" s="20">
        <v>355081.5</v>
      </c>
      <c r="D410" s="20">
        <v>36876888</v>
      </c>
      <c r="E410" s="7">
        <f>SUMIFS(Лист2!C:C,Лист2!B:B,'общая таблица'!B410,Лист2!A:A,'общая таблица'!A410)</f>
        <v>125</v>
      </c>
      <c r="F410" s="7">
        <f>SUMIFS(Лист2!D:D,Лист2!B:B,'общая таблица'!B410,Лист2!A:A,'общая таблица'!A410)</f>
        <v>20449</v>
      </c>
      <c r="G410" s="7">
        <f>SUMIFS(Лист2!E:E,Лист2!B:B,'общая таблица'!B410,Лист2!A:A,'общая таблица'!A410)</f>
        <v>19060</v>
      </c>
      <c r="H410" s="18">
        <f t="shared" si="12"/>
        <v>13094300706372</v>
      </c>
      <c r="I410" t="str">
        <f t="shared" si="13"/>
        <v>понедельник</v>
      </c>
    </row>
    <row r="411" spans="1:9" ht="14.25" customHeight="1" x14ac:dyDescent="0.3">
      <c r="A411" s="15">
        <v>43970</v>
      </c>
      <c r="B411" s="17" t="s">
        <v>15</v>
      </c>
      <c r="C411" s="23">
        <v>362536.5</v>
      </c>
      <c r="D411" s="23">
        <v>37023243</v>
      </c>
      <c r="E411" s="7">
        <f>SUMIFS(Лист2!C:C,Лист2!B:B,'общая таблица'!B411,Лист2!A:A,'общая таблица'!A411)</f>
        <v>125</v>
      </c>
      <c r="F411" s="7">
        <f>SUMIFS(Лист2!D:D,Лист2!B:B,'общая таблица'!B411,Лист2!A:A,'общая таблица'!A411)</f>
        <v>20771</v>
      </c>
      <c r="G411" s="7">
        <f>SUMIFS(Лист2!E:E,Лист2!B:B,'общая таблица'!B411,Лист2!A:A,'общая таблица'!A411)</f>
        <v>19338</v>
      </c>
      <c r="H411" s="18">
        <f t="shared" si="12"/>
        <v>13422276935869.5</v>
      </c>
      <c r="I411" t="str">
        <f t="shared" si="13"/>
        <v>вторник</v>
      </c>
    </row>
    <row r="412" spans="1:9" ht="14.25" customHeight="1" x14ac:dyDescent="0.3">
      <c r="A412" s="5">
        <v>43971</v>
      </c>
      <c r="B412" s="6" t="s">
        <v>15</v>
      </c>
      <c r="C412" s="22">
        <v>388668</v>
      </c>
      <c r="D412" s="22">
        <v>39639309</v>
      </c>
      <c r="E412" s="7">
        <f>SUMIFS(Лист2!C:C,Лист2!B:B,'общая таблица'!B412,Лист2!A:A,'общая таблица'!A412)</f>
        <v>125</v>
      </c>
      <c r="F412" s="7">
        <f>SUMIFS(Лист2!D:D,Лист2!B:B,'общая таблица'!B412,Лист2!A:A,'общая таблица'!A412)</f>
        <v>21674</v>
      </c>
      <c r="G412" s="7">
        <f>SUMIFS(Лист2!E:E,Лист2!B:B,'общая таблица'!B412,Лист2!A:A,'общая таблица'!A412)</f>
        <v>20155</v>
      </c>
      <c r="H412" s="18">
        <f t="shared" si="12"/>
        <v>15406530950412</v>
      </c>
      <c r="I412" t="str">
        <f t="shared" si="13"/>
        <v>среда</v>
      </c>
    </row>
    <row r="413" spans="1:9" ht="14.25" customHeight="1" x14ac:dyDescent="0.3">
      <c r="A413" s="8">
        <v>43972</v>
      </c>
      <c r="B413" s="9" t="s">
        <v>15</v>
      </c>
      <c r="C413" s="21">
        <v>378043.5</v>
      </c>
      <c r="D413" s="21">
        <v>37902156.57</v>
      </c>
      <c r="E413" s="7">
        <f>SUMIFS(Лист2!C:C,Лист2!B:B,'общая таблица'!B413,Лист2!A:A,'общая таблица'!A413)</f>
        <v>125</v>
      </c>
      <c r="F413" s="7">
        <f>SUMIFS(Лист2!D:D,Лист2!B:B,'общая таблица'!B413,Лист2!A:A,'общая таблица'!A413)</f>
        <v>20911</v>
      </c>
      <c r="G413" s="7">
        <f>SUMIFS(Лист2!E:E,Лист2!B:B,'общая таблица'!B413,Лист2!A:A,'общая таблица'!A413)</f>
        <v>19358</v>
      </c>
      <c r="H413" s="18">
        <f t="shared" si="12"/>
        <v>14328663927270.795</v>
      </c>
      <c r="I413" t="str">
        <f t="shared" si="13"/>
        <v>четверг</v>
      </c>
    </row>
    <row r="414" spans="1:9" ht="14.25" customHeight="1" x14ac:dyDescent="0.3">
      <c r="A414" s="14">
        <v>43973</v>
      </c>
      <c r="B414" s="16" t="s">
        <v>15</v>
      </c>
      <c r="C414" s="20">
        <v>393018</v>
      </c>
      <c r="D414" s="20">
        <v>39498373.5</v>
      </c>
      <c r="E414" s="7">
        <f>SUMIFS(Лист2!C:C,Лист2!B:B,'общая таблица'!B414,Лист2!A:A,'общая таблица'!A414)</f>
        <v>125</v>
      </c>
      <c r="F414" s="7">
        <f>SUMIFS(Лист2!D:D,Лист2!B:B,'общая таблица'!B414,Лист2!A:A,'общая таблица'!A414)</f>
        <v>21427</v>
      </c>
      <c r="G414" s="7">
        <f>SUMIFS(Лист2!E:E,Лист2!B:B,'общая таблица'!B414,Лист2!A:A,'общая таблица'!A414)</f>
        <v>19799</v>
      </c>
      <c r="H414" s="18">
        <f t="shared" si="12"/>
        <v>15523571756223</v>
      </c>
      <c r="I414" t="str">
        <f t="shared" si="13"/>
        <v>пятница</v>
      </c>
    </row>
    <row r="415" spans="1:9" ht="14.25" customHeight="1" x14ac:dyDescent="0.3">
      <c r="A415" s="15">
        <v>43974</v>
      </c>
      <c r="B415" s="17" t="s">
        <v>15</v>
      </c>
      <c r="C415" s="23">
        <v>456885</v>
      </c>
      <c r="D415" s="23">
        <v>46408080</v>
      </c>
      <c r="E415" s="7">
        <f>SUMIFS(Лист2!C:C,Лист2!B:B,'общая таблица'!B415,Лист2!A:A,'общая таблица'!A415)</f>
        <v>125</v>
      </c>
      <c r="F415" s="7">
        <f>SUMIFS(Лист2!D:D,Лист2!B:B,'общая таблица'!B415,Лист2!A:A,'общая таблица'!A415)</f>
        <v>24574</v>
      </c>
      <c r="G415" s="7">
        <f>SUMIFS(Лист2!E:E,Лист2!B:B,'общая таблица'!B415,Лист2!A:A,'общая таблица'!A415)</f>
        <v>22609</v>
      </c>
      <c r="H415" s="18">
        <f t="shared" si="12"/>
        <v>21203155630800</v>
      </c>
      <c r="I415" t="str">
        <f t="shared" si="13"/>
        <v>суббота</v>
      </c>
    </row>
    <row r="416" spans="1:9" ht="14.25" customHeight="1" x14ac:dyDescent="0.3">
      <c r="A416" s="14">
        <v>43975</v>
      </c>
      <c r="B416" s="16" t="s">
        <v>15</v>
      </c>
      <c r="C416" s="20">
        <v>375744</v>
      </c>
      <c r="D416" s="20">
        <v>38191381.5</v>
      </c>
      <c r="E416" s="7">
        <f>SUMIFS(Лист2!C:C,Лист2!B:B,'общая таблица'!B416,Лист2!A:A,'общая таблица'!A416)</f>
        <v>125</v>
      </c>
      <c r="F416" s="7">
        <f>SUMIFS(Лист2!D:D,Лист2!B:B,'общая таблица'!B416,Лист2!A:A,'общая таблица'!A416)</f>
        <v>21004</v>
      </c>
      <c r="G416" s="7">
        <f>SUMIFS(Лист2!E:E,Лист2!B:B,'общая таблица'!B416,Лист2!A:A,'общая таблица'!A416)</f>
        <v>19556</v>
      </c>
      <c r="H416" s="18">
        <f t="shared" si="12"/>
        <v>14350182450336</v>
      </c>
      <c r="I416" t="str">
        <f t="shared" si="13"/>
        <v>воскресенье</v>
      </c>
    </row>
    <row r="417" spans="1:9" ht="14.25" customHeight="1" x14ac:dyDescent="0.3">
      <c r="A417" s="15">
        <v>43976</v>
      </c>
      <c r="B417" s="17" t="s">
        <v>15</v>
      </c>
      <c r="C417" s="23">
        <v>349734</v>
      </c>
      <c r="D417" s="23">
        <v>36883428</v>
      </c>
      <c r="E417" s="7">
        <f>SUMIFS(Лист2!C:C,Лист2!B:B,'общая таблица'!B417,Лист2!A:A,'общая таблица'!A417)</f>
        <v>124</v>
      </c>
      <c r="F417" s="7">
        <f>SUMIFS(Лист2!D:D,Лист2!B:B,'общая таблица'!B417,Лист2!A:A,'общая таблица'!A417)</f>
        <v>20358</v>
      </c>
      <c r="G417" s="7">
        <f>SUMIFS(Лист2!E:E,Лист2!B:B,'общая таблица'!B417,Лист2!A:A,'общая таблица'!A417)</f>
        <v>18890</v>
      </c>
      <c r="H417" s="18">
        <f t="shared" si="12"/>
        <v>12899388808152</v>
      </c>
      <c r="I417" t="str">
        <f t="shared" si="13"/>
        <v>понедельник</v>
      </c>
    </row>
    <row r="418" spans="1:9" ht="14.25" customHeight="1" x14ac:dyDescent="0.3">
      <c r="A418" s="5">
        <v>43977</v>
      </c>
      <c r="B418" s="6" t="s">
        <v>15</v>
      </c>
      <c r="C418" s="22">
        <v>369861</v>
      </c>
      <c r="D418" s="22">
        <v>38365960.5</v>
      </c>
      <c r="E418" s="7">
        <f>SUMIFS(Лист2!C:C,Лист2!B:B,'общая таблица'!B418,Лист2!A:A,'общая таблица'!A418)</f>
        <v>124</v>
      </c>
      <c r="F418" s="7">
        <f>SUMIFS(Лист2!D:D,Лист2!B:B,'общая таблица'!B418,Лист2!A:A,'общая таблица'!A418)</f>
        <v>21153</v>
      </c>
      <c r="G418" s="7">
        <f>SUMIFS(Лист2!E:E,Лист2!B:B,'общая таблица'!B418,Лист2!A:A,'общая таблица'!A418)</f>
        <v>19673</v>
      </c>
      <c r="H418" s="18">
        <f t="shared" si="12"/>
        <v>14190072516490.5</v>
      </c>
      <c r="I418" t="str">
        <f t="shared" si="13"/>
        <v>вторник</v>
      </c>
    </row>
    <row r="419" spans="1:9" ht="14.25" customHeight="1" x14ac:dyDescent="0.3">
      <c r="A419" s="15">
        <v>43978</v>
      </c>
      <c r="B419" s="17" t="s">
        <v>15</v>
      </c>
      <c r="C419" s="23">
        <v>370012.5</v>
      </c>
      <c r="D419" s="23">
        <v>39034861.5</v>
      </c>
      <c r="E419" s="7">
        <f>SUMIFS(Лист2!C:C,Лист2!B:B,'общая таблица'!B419,Лист2!A:A,'общая таблица'!A419)</f>
        <v>124</v>
      </c>
      <c r="F419" s="7">
        <f>SUMIFS(Лист2!D:D,Лист2!B:B,'общая таблица'!B419,Лист2!A:A,'общая таблица'!A419)</f>
        <v>21384</v>
      </c>
      <c r="G419" s="7">
        <f>SUMIFS(Лист2!E:E,Лист2!B:B,'общая таблица'!B419,Лист2!A:A,'общая таблица'!A419)</f>
        <v>19897</v>
      </c>
      <c r="H419" s="18">
        <f t="shared" si="12"/>
        <v>14443386690768.75</v>
      </c>
      <c r="I419" t="str">
        <f t="shared" si="13"/>
        <v>среда</v>
      </c>
    </row>
    <row r="420" spans="1:9" ht="14.25" customHeight="1" x14ac:dyDescent="0.3">
      <c r="A420" s="5">
        <v>43979</v>
      </c>
      <c r="B420" s="6" t="s">
        <v>15</v>
      </c>
      <c r="C420" s="22">
        <v>364638</v>
      </c>
      <c r="D420" s="22">
        <v>37947688.5</v>
      </c>
      <c r="E420" s="7">
        <f>SUMIFS(Лист2!C:C,Лист2!B:B,'общая таблица'!B420,Лист2!A:A,'общая таблица'!A420)</f>
        <v>124</v>
      </c>
      <c r="F420" s="7">
        <f>SUMIFS(Лист2!D:D,Лист2!B:B,'общая таблица'!B420,Лист2!A:A,'общая таблица'!A420)</f>
        <v>20868</v>
      </c>
      <c r="G420" s="7">
        <f>SUMIFS(Лист2!E:E,Лист2!B:B,'общая таблица'!B420,Лист2!A:A,'общая таблица'!A420)</f>
        <v>19342</v>
      </c>
      <c r="H420" s="18">
        <f t="shared" si="12"/>
        <v>13837169239263</v>
      </c>
      <c r="I420" t="str">
        <f t="shared" si="13"/>
        <v>четверг</v>
      </c>
    </row>
    <row r="421" spans="1:9" ht="14.25" customHeight="1" x14ac:dyDescent="0.3">
      <c r="A421" s="15">
        <v>43980</v>
      </c>
      <c r="B421" s="17" t="s">
        <v>15</v>
      </c>
      <c r="C421" s="23">
        <v>524481</v>
      </c>
      <c r="D421" s="23">
        <v>54172029</v>
      </c>
      <c r="E421" s="7">
        <f>SUMIFS(Лист2!C:C,Лист2!B:B,'общая таблица'!B421,Лист2!A:A,'общая таблица'!A421)</f>
        <v>124</v>
      </c>
      <c r="F421" s="7">
        <f>SUMIFS(Лист2!D:D,Лист2!B:B,'общая таблица'!B421,Лист2!A:A,'общая таблица'!A421)</f>
        <v>25828</v>
      </c>
      <c r="G421" s="7">
        <f>SUMIFS(Лист2!E:E,Лист2!B:B,'общая таблица'!B421,Лист2!A:A,'общая таблица'!A421)</f>
        <v>23974</v>
      </c>
      <c r="H421" s="18">
        <f t="shared" si="12"/>
        <v>28412199941949</v>
      </c>
      <c r="I421" t="str">
        <f t="shared" si="13"/>
        <v>пятница</v>
      </c>
    </row>
    <row r="422" spans="1:9" ht="14.25" customHeight="1" x14ac:dyDescent="0.3">
      <c r="A422" s="14">
        <v>43981</v>
      </c>
      <c r="B422" s="16" t="s">
        <v>15</v>
      </c>
      <c r="C422" s="20">
        <v>453123</v>
      </c>
      <c r="D422" s="20">
        <v>46370904</v>
      </c>
      <c r="E422" s="7">
        <f>SUMIFS(Лист2!C:C,Лист2!B:B,'общая таблица'!B422,Лист2!A:A,'общая таблица'!A422)</f>
        <v>124</v>
      </c>
      <c r="F422" s="7">
        <f>SUMIFS(Лист2!D:D,Лист2!B:B,'общая таблица'!B422,Лист2!A:A,'общая таблица'!A422)</f>
        <v>24325</v>
      </c>
      <c r="G422" s="7">
        <f>SUMIFS(Лист2!E:E,Лист2!B:B,'общая таблица'!B422,Лист2!A:A,'общая таблица'!A422)</f>
        <v>22469</v>
      </c>
      <c r="H422" s="18">
        <f t="shared" si="12"/>
        <v>21011723133192</v>
      </c>
      <c r="I422" t="str">
        <f t="shared" si="13"/>
        <v>суббота</v>
      </c>
    </row>
    <row r="423" spans="1:9" ht="14.25" customHeight="1" x14ac:dyDescent="0.3">
      <c r="A423" s="8">
        <v>43982</v>
      </c>
      <c r="B423" s="9" t="s">
        <v>15</v>
      </c>
      <c r="C423" s="21">
        <v>379663.5</v>
      </c>
      <c r="D423" s="21">
        <v>39380178</v>
      </c>
      <c r="E423" s="7">
        <f>SUMIFS(Лист2!C:C,Лист2!B:B,'общая таблица'!B423,Лист2!A:A,'общая таблица'!A423)</f>
        <v>124</v>
      </c>
      <c r="F423" s="7">
        <f>SUMIFS(Лист2!D:D,Лист2!B:B,'общая таблица'!B423,Лист2!A:A,'общая таблица'!A423)</f>
        <v>21392</v>
      </c>
      <c r="G423" s="7">
        <f>SUMIFS(Лист2!E:E,Лист2!B:B,'общая таблица'!B423,Лист2!A:A,'общая таблица'!A423)</f>
        <v>19869</v>
      </c>
      <c r="H423" s="18">
        <f t="shared" si="12"/>
        <v>14951216210103</v>
      </c>
      <c r="I423" t="str">
        <f t="shared" si="13"/>
        <v>воскресенье</v>
      </c>
    </row>
    <row r="424" spans="1:9" ht="14.25" customHeight="1" x14ac:dyDescent="0.3">
      <c r="A424" s="5">
        <v>43983</v>
      </c>
      <c r="B424" s="6" t="s">
        <v>15</v>
      </c>
      <c r="C424" s="22">
        <v>349699.5</v>
      </c>
      <c r="D424" s="22">
        <v>37257840.18135</v>
      </c>
      <c r="E424" s="7">
        <f>SUMIFS(Лист2!C:C,Лист2!B:B,'общая таблица'!B424,Лист2!A:A,'общая таблица'!A424)</f>
        <v>123</v>
      </c>
      <c r="F424" s="7">
        <f>SUMIFS(Лист2!D:D,Лист2!B:B,'общая таблица'!B424,Лист2!A:A,'общая таблица'!A424)</f>
        <v>20325</v>
      </c>
      <c r="G424" s="7">
        <f>SUMIFS(Лист2!E:E,Лист2!B:B,'общая таблица'!B424,Лист2!A:A,'общая таблица'!A424)</f>
        <v>18935</v>
      </c>
      <c r="H424" s="18">
        <f t="shared" si="12"/>
        <v>13029048082498.004</v>
      </c>
      <c r="I424" t="str">
        <f t="shared" si="13"/>
        <v>понедельник</v>
      </c>
    </row>
    <row r="425" spans="1:9" ht="14.25" customHeight="1" x14ac:dyDescent="0.3">
      <c r="A425" s="15">
        <v>43949</v>
      </c>
      <c r="B425" s="17" t="s">
        <v>14</v>
      </c>
      <c r="C425" s="23">
        <v>286002</v>
      </c>
      <c r="D425" s="23">
        <v>29159032.5</v>
      </c>
      <c r="E425" s="7">
        <f>SUMIFS(Лист2!C:C,Лист2!B:B,'общая таблица'!B425,Лист2!A:A,'общая таблица'!A425)</f>
        <v>128</v>
      </c>
      <c r="F425" s="7">
        <f>SUMIFS(Лист2!D:D,Лист2!B:B,'общая таблица'!B425,Лист2!A:A,'общая таблица'!A425)</f>
        <v>16450</v>
      </c>
      <c r="G425" s="7">
        <f>SUMIFS(Лист2!E:E,Лист2!B:B,'общая таблица'!B425,Лист2!A:A,'общая таблица'!A425)</f>
        <v>15320</v>
      </c>
      <c r="H425" s="18">
        <f t="shared" si="12"/>
        <v>8339541613065</v>
      </c>
      <c r="I425" t="str">
        <f t="shared" si="13"/>
        <v>вторник</v>
      </c>
    </row>
    <row r="426" spans="1:9" ht="14.25" customHeight="1" x14ac:dyDescent="0.3">
      <c r="A426" s="5">
        <v>43950</v>
      </c>
      <c r="B426" s="6" t="s">
        <v>14</v>
      </c>
      <c r="C426" s="22">
        <v>298059</v>
      </c>
      <c r="D426" s="22">
        <v>30869287.5</v>
      </c>
      <c r="E426" s="7">
        <f>SUMIFS(Лист2!C:C,Лист2!B:B,'общая таблица'!B426,Лист2!A:A,'общая таблица'!A426)</f>
        <v>128</v>
      </c>
      <c r="F426" s="7">
        <f>SUMIFS(Лист2!D:D,Лист2!B:B,'общая таблица'!B426,Лист2!A:A,'общая таблица'!A426)</f>
        <v>17368</v>
      </c>
      <c r="G426" s="7">
        <f>SUMIFS(Лист2!E:E,Лист2!B:B,'общая таблица'!B426,Лист2!A:A,'общая таблица'!A426)</f>
        <v>16077</v>
      </c>
      <c r="H426" s="18">
        <f t="shared" si="12"/>
        <v>9200868962962.5</v>
      </c>
      <c r="I426" t="str">
        <f t="shared" si="13"/>
        <v>среда</v>
      </c>
    </row>
    <row r="427" spans="1:9" ht="14.25" customHeight="1" x14ac:dyDescent="0.3">
      <c r="A427" s="15">
        <v>43951</v>
      </c>
      <c r="B427" s="17" t="s">
        <v>14</v>
      </c>
      <c r="C427" s="23">
        <v>311131.5</v>
      </c>
      <c r="D427" s="23">
        <v>32418879</v>
      </c>
      <c r="E427" s="7">
        <f>SUMIFS(Лист2!C:C,Лист2!B:B,'общая таблица'!B427,Лист2!A:A,'общая таблица'!A427)</f>
        <v>129</v>
      </c>
      <c r="F427" s="7">
        <f>SUMIFS(Лист2!D:D,Лист2!B:B,'общая таблица'!B427,Лист2!A:A,'общая таблица'!A427)</f>
        <v>18042</v>
      </c>
      <c r="G427" s="7">
        <f>SUMIFS(Лист2!E:E,Лист2!B:B,'общая таблица'!B427,Лист2!A:A,'общая таблица'!A427)</f>
        <v>16631</v>
      </c>
      <c r="H427" s="18">
        <f t="shared" si="12"/>
        <v>10086534451588.5</v>
      </c>
      <c r="I427" t="str">
        <f t="shared" si="13"/>
        <v>четверг</v>
      </c>
    </row>
    <row r="428" spans="1:9" ht="14.25" customHeight="1" x14ac:dyDescent="0.3">
      <c r="A428" s="14">
        <v>43952</v>
      </c>
      <c r="B428" s="16" t="s">
        <v>14</v>
      </c>
      <c r="C428" s="20">
        <v>296149.5</v>
      </c>
      <c r="D428" s="20">
        <v>31053316.5</v>
      </c>
      <c r="E428" s="7">
        <f>SUMIFS(Лист2!C:C,Лист2!B:B,'общая таблица'!B428,Лист2!A:A,'общая таблица'!A428)</f>
        <v>129</v>
      </c>
      <c r="F428" s="7">
        <f>SUMIFS(Лист2!D:D,Лист2!B:B,'общая таблица'!B428,Лист2!A:A,'общая таблица'!A428)</f>
        <v>17002</v>
      </c>
      <c r="G428" s="7">
        <f>SUMIFS(Лист2!E:E,Лист2!B:B,'общая таблица'!B428,Лист2!A:A,'общая таблица'!A428)</f>
        <v>15570</v>
      </c>
      <c r="H428" s="18">
        <f t="shared" si="12"/>
        <v>9196424154816.75</v>
      </c>
      <c r="I428" t="str">
        <f t="shared" si="13"/>
        <v>пятница</v>
      </c>
    </row>
    <row r="429" spans="1:9" ht="14.25" customHeight="1" x14ac:dyDescent="0.3">
      <c r="A429" s="8">
        <v>43953</v>
      </c>
      <c r="B429" s="9" t="s">
        <v>14</v>
      </c>
      <c r="C429" s="21">
        <v>232903.5</v>
      </c>
      <c r="D429" s="21">
        <v>24342016.5</v>
      </c>
      <c r="E429" s="7">
        <f>SUMIFS(Лист2!C:C,Лист2!B:B,'общая таблица'!B429,Лист2!A:A,'общая таблица'!A429)</f>
        <v>129</v>
      </c>
      <c r="F429" s="7">
        <f>SUMIFS(Лист2!D:D,Лист2!B:B,'общая таблица'!B429,Лист2!A:A,'общая таблица'!A429)</f>
        <v>14009</v>
      </c>
      <c r="G429" s="7">
        <f>SUMIFS(Лист2!E:E,Лист2!B:B,'общая таблица'!B429,Лист2!A:A,'общая таблица'!A429)</f>
        <v>12920</v>
      </c>
      <c r="H429" s="18">
        <f t="shared" si="12"/>
        <v>5669340839907.75</v>
      </c>
      <c r="I429" t="str">
        <f t="shared" si="13"/>
        <v>суббота</v>
      </c>
    </row>
    <row r="430" spans="1:9" ht="14.25" customHeight="1" x14ac:dyDescent="0.3">
      <c r="A430" s="5">
        <v>43954</v>
      </c>
      <c r="B430" s="6" t="s">
        <v>14</v>
      </c>
      <c r="C430" s="22">
        <v>274083</v>
      </c>
      <c r="D430" s="22">
        <v>28427001</v>
      </c>
      <c r="E430" s="7">
        <f>SUMIFS(Лист2!C:C,Лист2!B:B,'общая таблица'!B430,Лист2!A:A,'общая таблица'!A430)</f>
        <v>129</v>
      </c>
      <c r="F430" s="7">
        <f>SUMIFS(Лист2!D:D,Лист2!B:B,'общая таблица'!B430,Лист2!A:A,'общая таблица'!A430)</f>
        <v>15778</v>
      </c>
      <c r="G430" s="7">
        <f>SUMIFS(Лист2!E:E,Лист2!B:B,'общая таблица'!B430,Лист2!A:A,'общая таблица'!A430)</f>
        <v>14624</v>
      </c>
      <c r="H430" s="18">
        <f t="shared" si="12"/>
        <v>7791357715083</v>
      </c>
      <c r="I430" t="str">
        <f t="shared" si="13"/>
        <v>воскресенье</v>
      </c>
    </row>
    <row r="431" spans="1:9" ht="14.25" customHeight="1" x14ac:dyDescent="0.3">
      <c r="A431" s="8">
        <v>43955</v>
      </c>
      <c r="B431" s="9" t="s">
        <v>14</v>
      </c>
      <c r="C431" s="21">
        <v>283942.5</v>
      </c>
      <c r="D431" s="21">
        <v>29357940</v>
      </c>
      <c r="E431" s="7">
        <f>SUMIFS(Лист2!C:C,Лист2!B:B,'общая таблица'!B431,Лист2!A:A,'общая таблица'!A431)</f>
        <v>129</v>
      </c>
      <c r="F431" s="7">
        <f>SUMIFS(Лист2!D:D,Лист2!B:B,'общая таблица'!B431,Лист2!A:A,'общая таблица'!A431)</f>
        <v>16525</v>
      </c>
      <c r="G431" s="7">
        <f>SUMIFS(Лист2!E:E,Лист2!B:B,'общая таблица'!B431,Лист2!A:A,'общая таблица'!A431)</f>
        <v>15310</v>
      </c>
      <c r="H431" s="18">
        <f t="shared" si="12"/>
        <v>8335966878450</v>
      </c>
      <c r="I431" t="str">
        <f t="shared" si="13"/>
        <v>понедельник</v>
      </c>
    </row>
    <row r="432" spans="1:9" ht="14.25" customHeight="1" x14ac:dyDescent="0.3">
      <c r="A432" s="14">
        <v>43956</v>
      </c>
      <c r="B432" s="16" t="s">
        <v>14</v>
      </c>
      <c r="C432" s="20">
        <v>262734</v>
      </c>
      <c r="D432" s="20">
        <v>27278441.145</v>
      </c>
      <c r="E432" s="7">
        <f>SUMIFS(Лист2!C:C,Лист2!B:B,'общая таблица'!B432,Лист2!A:A,'общая таблица'!A432)</f>
        <v>129</v>
      </c>
      <c r="F432" s="7">
        <f>SUMIFS(Лист2!D:D,Лист2!B:B,'общая таблица'!B432,Лист2!A:A,'общая таблица'!A432)</f>
        <v>15665</v>
      </c>
      <c r="G432" s="7">
        <f>SUMIFS(Лист2!E:E,Лист2!B:B,'общая таблица'!B432,Лист2!A:A,'общая таблица'!A432)</f>
        <v>14501</v>
      </c>
      <c r="H432" s="18">
        <f t="shared" si="12"/>
        <v>7166973955790.4297</v>
      </c>
      <c r="I432" t="str">
        <f t="shared" si="13"/>
        <v>вторник</v>
      </c>
    </row>
    <row r="433" spans="1:9" ht="14.25" customHeight="1" x14ac:dyDescent="0.3">
      <c r="A433" s="8">
        <v>43957</v>
      </c>
      <c r="B433" s="9" t="s">
        <v>14</v>
      </c>
      <c r="C433" s="21">
        <v>277512</v>
      </c>
      <c r="D433" s="21">
        <v>28770810.105599999</v>
      </c>
      <c r="E433" s="7">
        <f>SUMIFS(Лист2!C:C,Лист2!B:B,'общая таблица'!B433,Лист2!A:A,'общая таблица'!A433)</f>
        <v>129</v>
      </c>
      <c r="F433" s="7">
        <f>SUMIFS(Лист2!D:D,Лист2!B:B,'общая таблица'!B433,Лист2!A:A,'общая таблица'!A433)</f>
        <v>16376</v>
      </c>
      <c r="G433" s="7">
        <f>SUMIFS(Лист2!E:E,Лист2!B:B,'общая таблица'!B433,Лист2!A:A,'общая таблица'!A433)</f>
        <v>15197</v>
      </c>
      <c r="H433" s="18">
        <f t="shared" si="12"/>
        <v>7984245054025.2666</v>
      </c>
      <c r="I433" t="str">
        <f t="shared" si="13"/>
        <v>среда</v>
      </c>
    </row>
    <row r="434" spans="1:9" ht="14.25" customHeight="1" x14ac:dyDescent="0.3">
      <c r="A434" s="14">
        <v>43958</v>
      </c>
      <c r="B434" s="16" t="s">
        <v>14</v>
      </c>
      <c r="C434" s="20">
        <v>247813.5</v>
      </c>
      <c r="D434" s="20">
        <v>25325271</v>
      </c>
      <c r="E434" s="7">
        <f>SUMIFS(Лист2!C:C,Лист2!B:B,'общая таблица'!B434,Лист2!A:A,'общая таблица'!A434)</f>
        <v>129</v>
      </c>
      <c r="F434" s="7">
        <f>SUMIFS(Лист2!D:D,Лист2!B:B,'общая таблица'!B434,Лист2!A:A,'общая таблица'!A434)</f>
        <v>14582</v>
      </c>
      <c r="G434" s="7">
        <f>SUMIFS(Лист2!E:E,Лист2!B:B,'общая таблица'!B434,Лист2!A:A,'общая таблица'!A434)</f>
        <v>13512</v>
      </c>
      <c r="H434" s="18">
        <f t="shared" si="12"/>
        <v>6275944044958.5</v>
      </c>
      <c r="I434" t="str">
        <f t="shared" si="13"/>
        <v>четверг</v>
      </c>
    </row>
    <row r="435" spans="1:9" ht="14.25" customHeight="1" x14ac:dyDescent="0.3">
      <c r="A435" s="15">
        <v>43959</v>
      </c>
      <c r="B435" s="17" t="s">
        <v>14</v>
      </c>
      <c r="C435" s="23">
        <v>370092</v>
      </c>
      <c r="D435" s="23">
        <v>38091556.5</v>
      </c>
      <c r="E435" s="7">
        <f>SUMIFS(Лист2!C:C,Лист2!B:B,'общая таблица'!B435,Лист2!A:A,'общая таблица'!A435)</f>
        <v>129</v>
      </c>
      <c r="F435" s="7">
        <f>SUMIFS(Лист2!D:D,Лист2!B:B,'общая таблица'!B435,Лист2!A:A,'общая таблица'!A435)</f>
        <v>20452</v>
      </c>
      <c r="G435" s="7">
        <f>SUMIFS(Лист2!E:E,Лист2!B:B,'общая таблица'!B435,Лист2!A:A,'общая таблица'!A435)</f>
        <v>18857</v>
      </c>
      <c r="H435" s="18">
        <f t="shared" si="12"/>
        <v>14097380328198</v>
      </c>
      <c r="I435" t="str">
        <f t="shared" si="13"/>
        <v>пятница</v>
      </c>
    </row>
    <row r="436" spans="1:9" ht="14.25" customHeight="1" x14ac:dyDescent="0.3">
      <c r="A436" s="5">
        <v>43960</v>
      </c>
      <c r="B436" s="6" t="s">
        <v>14</v>
      </c>
      <c r="C436" s="22">
        <v>285972</v>
      </c>
      <c r="D436" s="22">
        <v>29768199</v>
      </c>
      <c r="E436" s="7">
        <f>SUMIFS(Лист2!C:C,Лист2!B:B,'общая таблица'!B436,Лист2!A:A,'общая таблица'!A436)</f>
        <v>129</v>
      </c>
      <c r="F436" s="7">
        <f>SUMIFS(Лист2!D:D,Лист2!B:B,'общая таблица'!B436,Лист2!A:A,'общая таблица'!A436)</f>
        <v>16420</v>
      </c>
      <c r="G436" s="7">
        <f>SUMIFS(Лист2!E:E,Лист2!B:B,'общая таблица'!B436,Лист2!A:A,'общая таблица'!A436)</f>
        <v>15169</v>
      </c>
      <c r="H436" s="18">
        <f t="shared" si="12"/>
        <v>8512871404428</v>
      </c>
      <c r="I436" t="str">
        <f t="shared" si="13"/>
        <v>суббота</v>
      </c>
    </row>
    <row r="437" spans="1:9" ht="14.25" customHeight="1" x14ac:dyDescent="0.3">
      <c r="A437" s="8">
        <v>43961</v>
      </c>
      <c r="B437" s="9" t="s">
        <v>14</v>
      </c>
      <c r="C437" s="21">
        <v>287206.5</v>
      </c>
      <c r="D437" s="21">
        <v>29536176.10605</v>
      </c>
      <c r="E437" s="7">
        <f>SUMIFS(Лист2!C:C,Лист2!B:B,'общая таблица'!B437,Лист2!A:A,'общая таблица'!A437)</f>
        <v>129</v>
      </c>
      <c r="F437" s="7">
        <f>SUMIFS(Лист2!D:D,Лист2!B:B,'общая таблица'!B437,Лист2!A:A,'общая таблица'!A437)</f>
        <v>16437</v>
      </c>
      <c r="G437" s="7">
        <f>SUMIFS(Лист2!E:E,Лист2!B:B,'общая таблица'!B437,Лист2!A:A,'общая таблица'!A437)</f>
        <v>15285</v>
      </c>
      <c r="H437" s="18">
        <f t="shared" si="12"/>
        <v>8482981762802.249</v>
      </c>
      <c r="I437" t="str">
        <f t="shared" si="13"/>
        <v>воскресенье</v>
      </c>
    </row>
    <row r="438" spans="1:9" ht="14.25" customHeight="1" x14ac:dyDescent="0.3">
      <c r="A438" s="5">
        <v>43962</v>
      </c>
      <c r="B438" s="6" t="s">
        <v>14</v>
      </c>
      <c r="C438" s="22">
        <v>237099</v>
      </c>
      <c r="D438" s="22">
        <v>24628233.223949999</v>
      </c>
      <c r="E438" s="7">
        <f>SUMIFS(Лист2!C:C,Лист2!B:B,'общая таблица'!B438,Лист2!A:A,'общая таблица'!A438)</f>
        <v>129</v>
      </c>
      <c r="F438" s="7">
        <f>SUMIFS(Лист2!D:D,Лист2!B:B,'общая таблица'!B438,Лист2!A:A,'общая таблица'!A438)</f>
        <v>14043</v>
      </c>
      <c r="G438" s="7">
        <f>SUMIFS(Лист2!E:E,Лист2!B:B,'общая таблица'!B438,Лист2!A:A,'общая таблица'!A438)</f>
        <v>13167</v>
      </c>
      <c r="H438" s="18">
        <f t="shared" si="12"/>
        <v>5839329469165.3203</v>
      </c>
      <c r="I438" t="str">
        <f t="shared" si="13"/>
        <v>понедельник</v>
      </c>
    </row>
    <row r="439" spans="1:9" ht="14.25" customHeight="1" x14ac:dyDescent="0.3">
      <c r="A439" s="15">
        <v>43963</v>
      </c>
      <c r="B439" s="17" t="s">
        <v>14</v>
      </c>
      <c r="C439" s="23">
        <v>281796</v>
      </c>
      <c r="D439" s="23">
        <v>29042520</v>
      </c>
      <c r="E439" s="7">
        <f>SUMIFS(Лист2!C:C,Лист2!B:B,'общая таблица'!B439,Лист2!A:A,'общая таблица'!A439)</f>
        <v>129</v>
      </c>
      <c r="F439" s="7">
        <f>SUMIFS(Лист2!D:D,Лист2!B:B,'общая таблица'!B439,Лист2!A:A,'общая таблица'!A439)</f>
        <v>16387</v>
      </c>
      <c r="G439" s="7">
        <f>SUMIFS(Лист2!E:E,Лист2!B:B,'общая таблица'!B439,Лист2!A:A,'общая таблица'!A439)</f>
        <v>15322</v>
      </c>
      <c r="H439" s="18">
        <f t="shared" si="12"/>
        <v>8184065965920</v>
      </c>
      <c r="I439" t="str">
        <f t="shared" si="13"/>
        <v>вторник</v>
      </c>
    </row>
    <row r="440" spans="1:9" ht="14.25" customHeight="1" x14ac:dyDescent="0.3">
      <c r="A440" s="14">
        <v>43964</v>
      </c>
      <c r="B440" s="16" t="s">
        <v>14</v>
      </c>
      <c r="C440" s="20">
        <v>258459</v>
      </c>
      <c r="D440" s="20">
        <v>26467453.5</v>
      </c>
      <c r="E440" s="7">
        <f>SUMIFS(Лист2!C:C,Лист2!B:B,'общая таблица'!B440,Лист2!A:A,'общая таблица'!A440)</f>
        <v>129</v>
      </c>
      <c r="F440" s="7">
        <f>SUMIFS(Лист2!D:D,Лист2!B:B,'общая таблица'!B440,Лист2!A:A,'общая таблица'!A440)</f>
        <v>15304</v>
      </c>
      <c r="G440" s="7">
        <f>SUMIFS(Лист2!E:E,Лист2!B:B,'общая таблица'!B440,Лист2!A:A,'общая таблица'!A440)</f>
        <v>14315</v>
      </c>
      <c r="H440" s="18">
        <f t="shared" si="12"/>
        <v>6840751564156.5</v>
      </c>
      <c r="I440" t="str">
        <f t="shared" si="13"/>
        <v>среда</v>
      </c>
    </row>
    <row r="441" spans="1:9" ht="14.25" customHeight="1" x14ac:dyDescent="0.3">
      <c r="A441" s="15">
        <v>43965</v>
      </c>
      <c r="B441" s="17" t="s">
        <v>14</v>
      </c>
      <c r="C441" s="23">
        <v>274059</v>
      </c>
      <c r="D441" s="23">
        <v>28181292</v>
      </c>
      <c r="E441" s="7">
        <f>SUMIFS(Лист2!C:C,Лист2!B:B,'общая таблица'!B441,Лист2!A:A,'общая таблица'!A441)</f>
        <v>129</v>
      </c>
      <c r="F441" s="7">
        <f>SUMIFS(Лист2!D:D,Лист2!B:B,'общая таблица'!B441,Лист2!A:A,'общая таблица'!A441)</f>
        <v>15804</v>
      </c>
      <c r="G441" s="7">
        <f>SUMIFS(Лист2!E:E,Лист2!B:B,'общая таблица'!B441,Лист2!A:A,'общая таблица'!A441)</f>
        <v>14738</v>
      </c>
      <c r="H441" s="18">
        <f t="shared" si="12"/>
        <v>7723336704228</v>
      </c>
      <c r="I441" t="str">
        <f t="shared" si="13"/>
        <v>четверг</v>
      </c>
    </row>
    <row r="442" spans="1:9" ht="14.25" customHeight="1" x14ac:dyDescent="0.3">
      <c r="A442" s="14">
        <v>43966</v>
      </c>
      <c r="B442" s="16" t="s">
        <v>14</v>
      </c>
      <c r="C442" s="20">
        <v>318816</v>
      </c>
      <c r="D442" s="20">
        <v>32354331</v>
      </c>
      <c r="E442" s="7">
        <f>SUMIFS(Лист2!C:C,Лист2!B:B,'общая таблица'!B442,Лист2!A:A,'общая таблица'!A442)</f>
        <v>129</v>
      </c>
      <c r="F442" s="7">
        <f>SUMIFS(Лист2!D:D,Лист2!B:B,'общая таблица'!B442,Лист2!A:A,'общая таблица'!A442)</f>
        <v>17808</v>
      </c>
      <c r="G442" s="7">
        <f>SUMIFS(Лист2!E:E,Лист2!B:B,'общая таблица'!B442,Лист2!A:A,'общая таблица'!A442)</f>
        <v>16486</v>
      </c>
      <c r="H442" s="18">
        <f t="shared" si="12"/>
        <v>10315078392096</v>
      </c>
      <c r="I442" t="str">
        <f t="shared" si="13"/>
        <v>пятница</v>
      </c>
    </row>
    <row r="443" spans="1:9" ht="14.25" customHeight="1" x14ac:dyDescent="0.3">
      <c r="A443" s="8">
        <v>43967</v>
      </c>
      <c r="B443" s="9" t="s">
        <v>14</v>
      </c>
      <c r="C443" s="21">
        <v>321412.5</v>
      </c>
      <c r="D443" s="21">
        <v>32235864</v>
      </c>
      <c r="E443" s="7">
        <f>SUMIFS(Лист2!C:C,Лист2!B:B,'общая таблица'!B443,Лист2!A:A,'общая таблица'!A443)</f>
        <v>129</v>
      </c>
      <c r="F443" s="7">
        <f>SUMIFS(Лист2!D:D,Лист2!B:B,'общая таблица'!B443,Лист2!A:A,'общая таблица'!A443)</f>
        <v>17914</v>
      </c>
      <c r="G443" s="7">
        <f>SUMIFS(Лист2!E:E,Лист2!B:B,'общая таблица'!B443,Лист2!A:A,'общая таблица'!A443)</f>
        <v>16631</v>
      </c>
      <c r="H443" s="18">
        <f t="shared" si="12"/>
        <v>10361009637900</v>
      </c>
      <c r="I443" t="str">
        <f t="shared" si="13"/>
        <v>суббота</v>
      </c>
    </row>
    <row r="444" spans="1:9" ht="14.25" customHeight="1" x14ac:dyDescent="0.3">
      <c r="A444" s="14">
        <v>43968</v>
      </c>
      <c r="B444" s="16" t="s">
        <v>14</v>
      </c>
      <c r="C444" s="20">
        <v>269029.5</v>
      </c>
      <c r="D444" s="20">
        <v>26659930.5</v>
      </c>
      <c r="E444" s="7">
        <f>SUMIFS(Лист2!C:C,Лист2!B:B,'общая таблица'!B444,Лист2!A:A,'общая таблица'!A444)</f>
        <v>129</v>
      </c>
      <c r="F444" s="7">
        <f>SUMIFS(Лист2!D:D,Лист2!B:B,'общая таблица'!B444,Лист2!A:A,'общая таблица'!A444)</f>
        <v>15744</v>
      </c>
      <c r="G444" s="7">
        <f>SUMIFS(Лист2!E:E,Лист2!B:B,'общая таблица'!B444,Лист2!A:A,'общая таблица'!A444)</f>
        <v>14685</v>
      </c>
      <c r="H444" s="18">
        <f t="shared" si="12"/>
        <v>7172307772449.75</v>
      </c>
      <c r="I444" t="str">
        <f t="shared" si="13"/>
        <v>воскресенье</v>
      </c>
    </row>
    <row r="445" spans="1:9" ht="14.25" customHeight="1" x14ac:dyDescent="0.3">
      <c r="A445" s="8">
        <v>43969</v>
      </c>
      <c r="B445" s="9" t="s">
        <v>14</v>
      </c>
      <c r="C445" s="21">
        <v>273900</v>
      </c>
      <c r="D445" s="21">
        <v>27535284.147600003</v>
      </c>
      <c r="E445" s="7">
        <f>SUMIFS(Лист2!C:C,Лист2!B:B,'общая таблица'!B445,Лист2!A:A,'общая таблица'!A445)</f>
        <v>129</v>
      </c>
      <c r="F445" s="7">
        <f>SUMIFS(Лист2!D:D,Лист2!B:B,'общая таблица'!B445,Лист2!A:A,'общая таблица'!A445)</f>
        <v>16110</v>
      </c>
      <c r="G445" s="7">
        <f>SUMIFS(Лист2!E:E,Лист2!B:B,'общая таблица'!B445,Лист2!A:A,'общая таблица'!A445)</f>
        <v>14992</v>
      </c>
      <c r="H445" s="18">
        <f t="shared" si="12"/>
        <v>7541914328027.6406</v>
      </c>
      <c r="I445" t="str">
        <f t="shared" si="13"/>
        <v>понедельник</v>
      </c>
    </row>
    <row r="446" spans="1:9" ht="14.25" customHeight="1" x14ac:dyDescent="0.3">
      <c r="A446" s="5">
        <v>43970</v>
      </c>
      <c r="B446" s="6" t="s">
        <v>14</v>
      </c>
      <c r="C446" s="22">
        <v>276568.5</v>
      </c>
      <c r="D446" s="22">
        <v>27093624</v>
      </c>
      <c r="E446" s="7">
        <f>SUMIFS(Лист2!C:C,Лист2!B:B,'общая таблица'!B446,Лист2!A:A,'общая таблица'!A446)</f>
        <v>129</v>
      </c>
      <c r="F446" s="7">
        <f>SUMIFS(Лист2!D:D,Лист2!B:B,'общая таблица'!B446,Лист2!A:A,'общая таблица'!A446)</f>
        <v>16191</v>
      </c>
      <c r="G446" s="7">
        <f>SUMIFS(Лист2!E:E,Лист2!B:B,'общая таблица'!B446,Лист2!A:A,'общая таблица'!A446)</f>
        <v>15102</v>
      </c>
      <c r="H446" s="18">
        <f t="shared" si="12"/>
        <v>7493242949244</v>
      </c>
      <c r="I446" t="str">
        <f t="shared" si="13"/>
        <v>вторник</v>
      </c>
    </row>
    <row r="447" spans="1:9" ht="14.25" customHeight="1" x14ac:dyDescent="0.3">
      <c r="A447" s="15">
        <v>43971</v>
      </c>
      <c r="B447" s="17" t="s">
        <v>14</v>
      </c>
      <c r="C447" s="23">
        <v>300151.5</v>
      </c>
      <c r="D447" s="23">
        <v>29368771.617449999</v>
      </c>
      <c r="E447" s="7">
        <f>SUMIFS(Лист2!C:C,Лист2!B:B,'общая таблица'!B447,Лист2!A:A,'общая таблица'!A447)</f>
        <v>129</v>
      </c>
      <c r="F447" s="7">
        <f>SUMIFS(Лист2!D:D,Лист2!B:B,'общая таблица'!B447,Лист2!A:A,'общая таблица'!A447)</f>
        <v>17095</v>
      </c>
      <c r="G447" s="7">
        <f>SUMIFS(Лист2!E:E,Лист2!B:B,'общая таблица'!B447,Лист2!A:A,'общая таблица'!A447)</f>
        <v>15919</v>
      </c>
      <c r="H447" s="18">
        <f t="shared" si="12"/>
        <v>8815080854135.043</v>
      </c>
      <c r="I447" t="str">
        <f t="shared" si="13"/>
        <v>среда</v>
      </c>
    </row>
    <row r="448" spans="1:9" ht="14.25" customHeight="1" x14ac:dyDescent="0.3">
      <c r="A448" s="14">
        <v>43972</v>
      </c>
      <c r="B448" s="16" t="s">
        <v>14</v>
      </c>
      <c r="C448" s="20">
        <v>288936</v>
      </c>
      <c r="D448" s="20">
        <v>27852900</v>
      </c>
      <c r="E448" s="7">
        <f>SUMIFS(Лист2!C:C,Лист2!B:B,'общая таблица'!B448,Лист2!A:A,'общая таблица'!A448)</f>
        <v>129</v>
      </c>
      <c r="F448" s="7">
        <f>SUMIFS(Лист2!D:D,Лист2!B:B,'общая таблица'!B448,Лист2!A:A,'общая таблица'!A448)</f>
        <v>16373</v>
      </c>
      <c r="G448" s="7">
        <f>SUMIFS(Лист2!E:E,Лист2!B:B,'общая таблица'!B448,Лист2!A:A,'общая таблица'!A448)</f>
        <v>15223</v>
      </c>
      <c r="H448" s="18">
        <f t="shared" si="12"/>
        <v>8047705514400</v>
      </c>
      <c r="I448" t="str">
        <f t="shared" si="13"/>
        <v>четверг</v>
      </c>
    </row>
    <row r="449" spans="1:9" ht="14.25" customHeight="1" x14ac:dyDescent="0.3">
      <c r="A449" s="15">
        <v>43973</v>
      </c>
      <c r="B449" s="17" t="s">
        <v>14</v>
      </c>
      <c r="C449" s="23">
        <v>304092</v>
      </c>
      <c r="D449" s="23">
        <v>29465769</v>
      </c>
      <c r="E449" s="7">
        <f>SUMIFS(Лист2!C:C,Лист2!B:B,'общая таблица'!B449,Лист2!A:A,'общая таблица'!A449)</f>
        <v>129</v>
      </c>
      <c r="F449" s="7">
        <f>SUMIFS(Лист2!D:D,Лист2!B:B,'общая таблица'!B449,Лист2!A:A,'общая таблица'!A449)</f>
        <v>17088</v>
      </c>
      <c r="G449" s="7">
        <f>SUMIFS(Лист2!E:E,Лист2!B:B,'общая таблица'!B449,Лист2!A:A,'общая таблица'!A449)</f>
        <v>15804</v>
      </c>
      <c r="H449" s="18">
        <f t="shared" si="12"/>
        <v>8960304626748</v>
      </c>
      <c r="I449" t="str">
        <f t="shared" si="13"/>
        <v>пятница</v>
      </c>
    </row>
    <row r="450" spans="1:9" ht="14.25" customHeight="1" x14ac:dyDescent="0.3">
      <c r="A450" s="5">
        <v>43974</v>
      </c>
      <c r="B450" s="6" t="s">
        <v>14</v>
      </c>
      <c r="C450" s="22">
        <v>356982</v>
      </c>
      <c r="D450" s="22">
        <v>35103926.711549997</v>
      </c>
      <c r="E450" s="7">
        <f>SUMIFS(Лист2!C:C,Лист2!B:B,'общая таблица'!B450,Лист2!A:A,'общая таблица'!A450)</f>
        <v>129</v>
      </c>
      <c r="F450" s="7">
        <f>SUMIFS(Лист2!D:D,Лист2!B:B,'общая таблица'!B450,Лист2!A:A,'общая таблица'!A450)</f>
        <v>19856</v>
      </c>
      <c r="G450" s="7">
        <f>SUMIFS(Лист2!E:E,Лист2!B:B,'общая таблица'!B450,Лист2!A:A,'общая таблица'!A450)</f>
        <v>18325</v>
      </c>
      <c r="H450" s="18">
        <f t="shared" si="12"/>
        <v>12531469965342.541</v>
      </c>
      <c r="I450" t="str">
        <f t="shared" si="13"/>
        <v>суббота</v>
      </c>
    </row>
    <row r="451" spans="1:9" ht="14.25" customHeight="1" x14ac:dyDescent="0.3">
      <c r="A451" s="15">
        <v>43975</v>
      </c>
      <c r="B451" s="17" t="s">
        <v>14</v>
      </c>
      <c r="C451" s="23">
        <v>287740.5</v>
      </c>
      <c r="D451" s="23">
        <v>28188534</v>
      </c>
      <c r="E451" s="7">
        <f>SUMIFS(Лист2!C:C,Лист2!B:B,'общая таблица'!B451,Лист2!A:A,'общая таблица'!A451)</f>
        <v>129</v>
      </c>
      <c r="F451" s="7">
        <f>SUMIFS(Лист2!D:D,Лист2!B:B,'общая таблица'!B451,Лист2!A:A,'общая таблица'!A451)</f>
        <v>16432</v>
      </c>
      <c r="G451" s="7">
        <f>SUMIFS(Лист2!E:E,Лист2!B:B,'общая таблица'!B451,Лист2!A:A,'общая таблица'!A451)</f>
        <v>15345</v>
      </c>
      <c r="H451" s="18">
        <f t="shared" ref="H451:H505" si="14">C451*D451</f>
        <v>8110982867427</v>
      </c>
      <c r="I451" t="str">
        <f t="shared" ref="I451:I505" si="15">TEXT(A451,"дддд")</f>
        <v>воскресенье</v>
      </c>
    </row>
    <row r="452" spans="1:9" ht="14.25" customHeight="1" x14ac:dyDescent="0.3">
      <c r="A452" s="14">
        <v>43976</v>
      </c>
      <c r="B452" s="16" t="s">
        <v>14</v>
      </c>
      <c r="C452" s="20">
        <v>266983.5</v>
      </c>
      <c r="D452" s="20">
        <v>27165913.5</v>
      </c>
      <c r="E452" s="7">
        <f>SUMIFS(Лист2!C:C,Лист2!B:B,'общая таблица'!B452,Лист2!A:A,'общая таблица'!A452)</f>
        <v>129</v>
      </c>
      <c r="F452" s="7">
        <f>SUMIFS(Лист2!D:D,Лист2!B:B,'общая таблица'!B452,Лист2!A:A,'общая таблица'!A452)</f>
        <v>15822</v>
      </c>
      <c r="G452" s="7">
        <f>SUMIFS(Лист2!E:E,Лист2!B:B,'общая таблица'!B452,Лист2!A:A,'общая таблица'!A452)</f>
        <v>14753</v>
      </c>
      <c r="H452" s="18">
        <f t="shared" si="14"/>
        <v>7252850666927.25</v>
      </c>
      <c r="I452" t="str">
        <f t="shared" si="15"/>
        <v>понедельник</v>
      </c>
    </row>
    <row r="453" spans="1:9" ht="14.25" customHeight="1" x14ac:dyDescent="0.3">
      <c r="A453" s="15">
        <v>43977</v>
      </c>
      <c r="B453" s="17" t="s">
        <v>14</v>
      </c>
      <c r="C453" s="23">
        <v>276966</v>
      </c>
      <c r="D453" s="23">
        <v>27872617.898850001</v>
      </c>
      <c r="E453" s="7">
        <f>SUMIFS(Лист2!C:C,Лист2!B:B,'общая таблица'!B453,Лист2!A:A,'общая таблица'!A453)</f>
        <v>129</v>
      </c>
      <c r="F453" s="7">
        <f>SUMIFS(Лист2!D:D,Лист2!B:B,'общая таблица'!B453,Лист2!A:A,'общая таблица'!A453)</f>
        <v>16459</v>
      </c>
      <c r="G453" s="7">
        <f>SUMIFS(Лист2!E:E,Лист2!B:B,'общая таблица'!B453,Лист2!A:A,'общая таблица'!A453)</f>
        <v>15355</v>
      </c>
      <c r="H453" s="18">
        <f t="shared" si="14"/>
        <v>7719767488972.8896</v>
      </c>
      <c r="I453" t="str">
        <f t="shared" si="15"/>
        <v>вторник</v>
      </c>
    </row>
    <row r="454" spans="1:9" ht="14.25" customHeight="1" x14ac:dyDescent="0.3">
      <c r="A454" s="14">
        <v>43978</v>
      </c>
      <c r="B454" s="16" t="s">
        <v>14</v>
      </c>
      <c r="C454" s="20">
        <v>286558.5</v>
      </c>
      <c r="D454" s="20">
        <v>29256993</v>
      </c>
      <c r="E454" s="7">
        <f>SUMIFS(Лист2!C:C,Лист2!B:B,'общая таблица'!B454,Лист2!A:A,'общая таблица'!A454)</f>
        <v>129</v>
      </c>
      <c r="F454" s="7">
        <f>SUMIFS(Лист2!D:D,Лист2!B:B,'общая таблица'!B454,Лист2!A:A,'общая таблица'!A454)</f>
        <v>17115</v>
      </c>
      <c r="G454" s="7">
        <f>SUMIFS(Лист2!E:E,Лист2!B:B,'общая таблица'!B454,Лист2!A:A,'общая таблица'!A454)</f>
        <v>15962</v>
      </c>
      <c r="H454" s="18">
        <f t="shared" si="14"/>
        <v>8383840028590.5</v>
      </c>
      <c r="I454" t="str">
        <f t="shared" si="15"/>
        <v>среда</v>
      </c>
    </row>
    <row r="455" spans="1:9" ht="14.25" customHeight="1" x14ac:dyDescent="0.3">
      <c r="A455" s="8">
        <v>43979</v>
      </c>
      <c r="B455" s="9" t="s">
        <v>14</v>
      </c>
      <c r="C455" s="21">
        <v>278491.5</v>
      </c>
      <c r="D455" s="21">
        <v>28151004.75</v>
      </c>
      <c r="E455" s="7">
        <f>SUMIFS(Лист2!C:C,Лист2!B:B,'общая таблица'!B455,Лист2!A:A,'общая таблица'!A455)</f>
        <v>129</v>
      </c>
      <c r="F455" s="7">
        <f>SUMIFS(Лист2!D:D,Лист2!B:B,'общая таблица'!B455,Лист2!A:A,'общая таблица'!A455)</f>
        <v>16453</v>
      </c>
      <c r="G455" s="7">
        <f>SUMIFS(Лист2!E:E,Лист2!B:B,'общая таблица'!B455,Лист2!A:A,'общая таблица'!A455)</f>
        <v>15289</v>
      </c>
      <c r="H455" s="18">
        <f t="shared" si="14"/>
        <v>7839815539334.625</v>
      </c>
      <c r="I455" t="str">
        <f t="shared" si="15"/>
        <v>четверг</v>
      </c>
    </row>
    <row r="456" spans="1:9" ht="14.25" customHeight="1" x14ac:dyDescent="0.3">
      <c r="A456" s="5">
        <v>43980</v>
      </c>
      <c r="B456" s="6" t="s">
        <v>14</v>
      </c>
      <c r="C456" s="22">
        <v>422965.5</v>
      </c>
      <c r="D456" s="22">
        <v>41767140.105000004</v>
      </c>
      <c r="E456" s="7">
        <f>SUMIFS(Лист2!C:C,Лист2!B:B,'общая таблица'!B456,Лист2!A:A,'общая таблица'!A456)</f>
        <v>129</v>
      </c>
      <c r="F456" s="7">
        <f>SUMIFS(Лист2!D:D,Лист2!B:B,'общая таблица'!B456,Лист2!A:A,'общая таблица'!A456)</f>
        <v>22403</v>
      </c>
      <c r="G456" s="7">
        <f>SUMIFS(Лист2!E:E,Лист2!B:B,'общая таблица'!B456,Лист2!A:A,'общая таблица'!A456)</f>
        <v>20676</v>
      </c>
      <c r="H456" s="18">
        <f t="shared" si="14"/>
        <v>17666059298081.379</v>
      </c>
      <c r="I456" t="str">
        <f t="shared" si="15"/>
        <v>пятница</v>
      </c>
    </row>
    <row r="457" spans="1:9" ht="14.25" customHeight="1" x14ac:dyDescent="0.3">
      <c r="A457" s="15">
        <v>43981</v>
      </c>
      <c r="B457" s="17" t="s">
        <v>14</v>
      </c>
      <c r="C457" s="23">
        <v>364882.5</v>
      </c>
      <c r="D457" s="23">
        <v>35724493.5</v>
      </c>
      <c r="E457" s="7">
        <f>SUMIFS(Лист2!C:C,Лист2!B:B,'общая таблица'!B457,Лист2!A:A,'общая таблица'!A457)</f>
        <v>129</v>
      </c>
      <c r="F457" s="7">
        <f>SUMIFS(Лист2!D:D,Лист2!B:B,'общая таблица'!B457,Лист2!A:A,'общая таблица'!A457)</f>
        <v>20243</v>
      </c>
      <c r="G457" s="7">
        <f>SUMIFS(Лист2!E:E,Лист2!B:B,'общая таблица'!B457,Лист2!A:A,'общая таблица'!A457)</f>
        <v>18711</v>
      </c>
      <c r="H457" s="18">
        <f t="shared" si="14"/>
        <v>13035242499513.75</v>
      </c>
      <c r="I457" t="str">
        <f t="shared" si="15"/>
        <v>суббота</v>
      </c>
    </row>
    <row r="458" spans="1:9" ht="14.25" customHeight="1" x14ac:dyDescent="0.3">
      <c r="A458" s="5">
        <v>43982</v>
      </c>
      <c r="B458" s="6" t="s">
        <v>14</v>
      </c>
      <c r="C458" s="22">
        <v>294337.5</v>
      </c>
      <c r="D458" s="22">
        <v>29327766</v>
      </c>
      <c r="E458" s="7">
        <f>SUMIFS(Лист2!C:C,Лист2!B:B,'общая таблица'!B458,Лист2!A:A,'общая таблица'!A458)</f>
        <v>129</v>
      </c>
      <c r="F458" s="7">
        <f>SUMIFS(Лист2!D:D,Лист2!B:B,'общая таблица'!B458,Лист2!A:A,'общая таблица'!A458)</f>
        <v>17235</v>
      </c>
      <c r="G458" s="7">
        <f>SUMIFS(Лист2!E:E,Лист2!B:B,'общая таблица'!B458,Лист2!A:A,'общая таблица'!A458)</f>
        <v>16052</v>
      </c>
      <c r="H458" s="18">
        <f t="shared" si="14"/>
        <v>8632261325025</v>
      </c>
      <c r="I458" t="str">
        <f t="shared" si="15"/>
        <v>воскресенье</v>
      </c>
    </row>
    <row r="459" spans="1:9" ht="14.25" customHeight="1" x14ac:dyDescent="0.3">
      <c r="A459" s="8">
        <v>43983</v>
      </c>
      <c r="B459" s="9" t="s">
        <v>14</v>
      </c>
      <c r="C459" s="21">
        <v>272926.5</v>
      </c>
      <c r="D459" s="21">
        <v>27770092.5</v>
      </c>
      <c r="E459" s="7">
        <f>SUMIFS(Лист2!C:C,Лист2!B:B,'общая таблица'!B459,Лист2!A:A,'общая таблица'!A459)</f>
        <v>128</v>
      </c>
      <c r="F459" s="7">
        <f>SUMIFS(Лист2!D:D,Лист2!B:B,'общая таблица'!B459,Лист2!A:A,'общая таблица'!A459)</f>
        <v>16285</v>
      </c>
      <c r="G459" s="7">
        <f>SUMIFS(Лист2!E:E,Лист2!B:B,'общая таблица'!B459,Лист2!A:A,'общая таблица'!A459)</f>
        <v>15130</v>
      </c>
      <c r="H459" s="18">
        <f t="shared" si="14"/>
        <v>7579194150701.25</v>
      </c>
      <c r="I459" t="str">
        <f t="shared" si="15"/>
        <v>понедельник</v>
      </c>
    </row>
    <row r="460" spans="1:9" ht="14.25" customHeight="1" x14ac:dyDescent="0.3">
      <c r="A460" s="14">
        <v>43949</v>
      </c>
      <c r="B460" s="16" t="s">
        <v>12</v>
      </c>
      <c r="C460" s="20">
        <v>12331.5</v>
      </c>
      <c r="D460" s="20">
        <v>869983.5</v>
      </c>
      <c r="E460" s="7">
        <f>SUMIFS(Лист2!C:C,Лист2!B:B,'общая таблица'!B460,Лист2!A:A,'общая таблица'!A460)</f>
        <v>10</v>
      </c>
      <c r="F460" s="7">
        <f>SUMIFS(Лист2!D:D,Лист2!B:B,'общая таблица'!B460,Лист2!A:A,'общая таблица'!A460)</f>
        <v>580</v>
      </c>
      <c r="G460" s="7">
        <f>SUMIFS(Лист2!E:E,Лист2!B:B,'общая таблица'!B460,Лист2!A:A,'общая таблица'!A460)</f>
        <v>506</v>
      </c>
      <c r="H460" s="18">
        <f t="shared" si="14"/>
        <v>10728201530.25</v>
      </c>
      <c r="I460" t="str">
        <f t="shared" si="15"/>
        <v>вторник</v>
      </c>
    </row>
    <row r="461" spans="1:9" ht="14.25" customHeight="1" x14ac:dyDescent="0.3">
      <c r="A461" s="8">
        <v>43950</v>
      </c>
      <c r="B461" s="9" t="s">
        <v>12</v>
      </c>
      <c r="C461" s="21">
        <v>10840.5</v>
      </c>
      <c r="D461" s="21">
        <v>797919</v>
      </c>
      <c r="E461" s="7">
        <f>SUMIFS(Лист2!C:C,Лист2!B:B,'общая таблица'!B461,Лист2!A:A,'общая таблица'!A461)</f>
        <v>10</v>
      </c>
      <c r="F461" s="7">
        <f>SUMIFS(Лист2!D:D,Лист2!B:B,'общая таблица'!B461,Лист2!A:A,'общая таблица'!A461)</f>
        <v>502</v>
      </c>
      <c r="G461" s="7">
        <f>SUMIFS(Лист2!E:E,Лист2!B:B,'общая таблица'!B461,Лист2!A:A,'общая таблица'!A461)</f>
        <v>433</v>
      </c>
      <c r="H461" s="18">
        <f t="shared" si="14"/>
        <v>8649840919.5</v>
      </c>
      <c r="I461" t="str">
        <f t="shared" si="15"/>
        <v>среда</v>
      </c>
    </row>
    <row r="462" spans="1:9" ht="14.25" customHeight="1" x14ac:dyDescent="0.3">
      <c r="A462" s="5">
        <v>43951</v>
      </c>
      <c r="B462" s="6" t="s">
        <v>12</v>
      </c>
      <c r="C462" s="22">
        <v>8934</v>
      </c>
      <c r="D462" s="22">
        <v>716196</v>
      </c>
      <c r="E462" s="7">
        <f>SUMIFS(Лист2!C:C,Лист2!B:B,'общая таблица'!B462,Лист2!A:A,'общая таблица'!A462)</f>
        <v>10</v>
      </c>
      <c r="F462" s="7">
        <f>SUMIFS(Лист2!D:D,Лист2!B:B,'общая таблица'!B462,Лист2!A:A,'общая таблица'!A462)</f>
        <v>448</v>
      </c>
      <c r="G462" s="7">
        <f>SUMIFS(Лист2!E:E,Лист2!B:B,'общая таблица'!B462,Лист2!A:A,'общая таблица'!A462)</f>
        <v>376</v>
      </c>
      <c r="H462" s="18">
        <f t="shared" si="14"/>
        <v>6398495064</v>
      </c>
      <c r="I462" t="str">
        <f t="shared" si="15"/>
        <v>четверг</v>
      </c>
    </row>
    <row r="463" spans="1:9" ht="14.25" customHeight="1" x14ac:dyDescent="0.3">
      <c r="A463" s="15">
        <v>43952</v>
      </c>
      <c r="B463" s="17" t="s">
        <v>12</v>
      </c>
      <c r="C463" s="23">
        <v>11619</v>
      </c>
      <c r="D463" s="23">
        <v>891139.5</v>
      </c>
      <c r="E463" s="7">
        <f>SUMIFS(Лист2!C:C,Лист2!B:B,'общая таблица'!B463,Лист2!A:A,'общая таблица'!A463)</f>
        <v>10</v>
      </c>
      <c r="F463" s="7">
        <f>SUMIFS(Лист2!D:D,Лист2!B:B,'общая таблица'!B463,Лист2!A:A,'общая таблица'!A463)</f>
        <v>554</v>
      </c>
      <c r="G463" s="7">
        <f>SUMIFS(Лист2!E:E,Лист2!B:B,'общая таблица'!B463,Лист2!A:A,'общая таблица'!A463)</f>
        <v>472</v>
      </c>
      <c r="H463" s="18">
        <f t="shared" si="14"/>
        <v>10354149850.5</v>
      </c>
      <c r="I463" t="str">
        <f t="shared" si="15"/>
        <v>пятница</v>
      </c>
    </row>
    <row r="464" spans="1:9" ht="14.25" customHeight="1" x14ac:dyDescent="0.3">
      <c r="A464" s="5">
        <v>43953</v>
      </c>
      <c r="B464" s="6" t="s">
        <v>12</v>
      </c>
      <c r="C464" s="22">
        <v>7866</v>
      </c>
      <c r="D464" s="22">
        <v>617881.5</v>
      </c>
      <c r="E464" s="7">
        <f>SUMIFS(Лист2!C:C,Лист2!B:B,'общая таблица'!B464,Лист2!A:A,'общая таблица'!A464)</f>
        <v>10</v>
      </c>
      <c r="F464" s="7">
        <f>SUMIFS(Лист2!D:D,Лист2!B:B,'общая таблица'!B464,Лист2!A:A,'общая таблица'!A464)</f>
        <v>416</v>
      </c>
      <c r="G464" s="7">
        <f>SUMIFS(Лист2!E:E,Лист2!B:B,'общая таблица'!B464,Лист2!A:A,'общая таблица'!A464)</f>
        <v>341</v>
      </c>
      <c r="H464" s="18">
        <f t="shared" si="14"/>
        <v>4860255879</v>
      </c>
      <c r="I464" t="str">
        <f t="shared" si="15"/>
        <v>суббота</v>
      </c>
    </row>
    <row r="465" spans="1:9" ht="14.25" customHeight="1" x14ac:dyDescent="0.3">
      <c r="A465" s="15">
        <v>43954</v>
      </c>
      <c r="B465" s="17" t="s">
        <v>12</v>
      </c>
      <c r="C465" s="23">
        <v>8185.5</v>
      </c>
      <c r="D465" s="23">
        <v>637881</v>
      </c>
      <c r="E465" s="7">
        <f>SUMIFS(Лист2!C:C,Лист2!B:B,'общая таблица'!B465,Лист2!A:A,'общая таблица'!A465)</f>
        <v>10</v>
      </c>
      <c r="F465" s="7">
        <f>SUMIFS(Лист2!D:D,Лист2!B:B,'общая таблица'!B465,Лист2!A:A,'общая таблица'!A465)</f>
        <v>402</v>
      </c>
      <c r="G465" s="7">
        <f>SUMIFS(Лист2!E:E,Лист2!B:B,'общая таблица'!B465,Лист2!A:A,'общая таблица'!A465)</f>
        <v>333</v>
      </c>
      <c r="H465" s="18">
        <f t="shared" si="14"/>
        <v>5221374925.5</v>
      </c>
      <c r="I465" t="str">
        <f t="shared" si="15"/>
        <v>воскресенье</v>
      </c>
    </row>
    <row r="466" spans="1:9" ht="14.25" customHeight="1" x14ac:dyDescent="0.3">
      <c r="A466" s="5">
        <v>43955</v>
      </c>
      <c r="B466" s="6" t="s">
        <v>12</v>
      </c>
      <c r="C466" s="22">
        <v>9130.5</v>
      </c>
      <c r="D466" s="22">
        <v>728890.5</v>
      </c>
      <c r="E466" s="7">
        <f>SUMIFS(Лист2!C:C,Лист2!B:B,'общая таблица'!B466,Лист2!A:A,'общая таблица'!A466)</f>
        <v>10</v>
      </c>
      <c r="F466" s="7">
        <f>SUMIFS(Лист2!D:D,Лист2!B:B,'общая таблица'!B466,Лист2!A:A,'общая таблица'!A466)</f>
        <v>462</v>
      </c>
      <c r="G466" s="7">
        <f>SUMIFS(Лист2!E:E,Лист2!B:B,'общая таблица'!B466,Лист2!A:A,'общая таблица'!A466)</f>
        <v>396</v>
      </c>
      <c r="H466" s="18">
        <f t="shared" si="14"/>
        <v>6655134710.25</v>
      </c>
      <c r="I466" t="str">
        <f t="shared" si="15"/>
        <v>понедельник</v>
      </c>
    </row>
    <row r="467" spans="1:9" ht="14.25" customHeight="1" x14ac:dyDescent="0.3">
      <c r="A467" s="15">
        <v>43956</v>
      </c>
      <c r="B467" s="17" t="s">
        <v>12</v>
      </c>
      <c r="C467" s="23">
        <v>10147.5</v>
      </c>
      <c r="D467" s="23">
        <v>793320</v>
      </c>
      <c r="E467" s="7">
        <f>SUMIFS(Лист2!C:C,Лист2!B:B,'общая таблица'!B467,Лист2!A:A,'общая таблица'!A467)</f>
        <v>10</v>
      </c>
      <c r="F467" s="7">
        <f>SUMIFS(Лист2!D:D,Лист2!B:B,'общая таблица'!B467,Лист2!A:A,'общая таблица'!A467)</f>
        <v>511</v>
      </c>
      <c r="G467" s="7">
        <f>SUMIFS(Лист2!E:E,Лист2!B:B,'общая таблица'!B467,Лист2!A:A,'общая таблица'!A467)</f>
        <v>437</v>
      </c>
      <c r="H467" s="18">
        <f t="shared" si="14"/>
        <v>8050214700</v>
      </c>
      <c r="I467" t="str">
        <f t="shared" si="15"/>
        <v>вторник</v>
      </c>
    </row>
    <row r="468" spans="1:9" ht="14.25" customHeight="1" x14ac:dyDescent="0.3">
      <c r="A468" s="5">
        <v>43957</v>
      </c>
      <c r="B468" s="6" t="s">
        <v>12</v>
      </c>
      <c r="C468" s="22">
        <v>9210</v>
      </c>
      <c r="D468" s="22">
        <v>696832.5</v>
      </c>
      <c r="E468" s="7">
        <f>SUMIFS(Лист2!C:C,Лист2!B:B,'общая таблица'!B468,Лист2!A:A,'общая таблица'!A468)</f>
        <v>10</v>
      </c>
      <c r="F468" s="7">
        <f>SUMIFS(Лист2!D:D,Лист2!B:B,'общая таблица'!B468,Лист2!A:A,'общая таблица'!A468)</f>
        <v>465</v>
      </c>
      <c r="G468" s="7">
        <f>SUMIFS(Лист2!E:E,Лист2!B:B,'общая таблица'!B468,Лист2!A:A,'общая таблица'!A468)</f>
        <v>390</v>
      </c>
      <c r="H468" s="18">
        <f t="shared" si="14"/>
        <v>6417827325</v>
      </c>
      <c r="I468" t="str">
        <f t="shared" si="15"/>
        <v>среда</v>
      </c>
    </row>
    <row r="469" spans="1:9" ht="14.25" customHeight="1" x14ac:dyDescent="0.3">
      <c r="A469" s="8">
        <v>43958</v>
      </c>
      <c r="B469" s="9" t="s">
        <v>12</v>
      </c>
      <c r="C469" s="21">
        <v>11029.5</v>
      </c>
      <c r="D469" s="21">
        <v>863754</v>
      </c>
      <c r="E469" s="7">
        <f>SUMIFS(Лист2!C:C,Лист2!B:B,'общая таблица'!B469,Лист2!A:A,'общая таблица'!A469)</f>
        <v>10</v>
      </c>
      <c r="F469" s="7">
        <f>SUMIFS(Лист2!D:D,Лист2!B:B,'общая таблица'!B469,Лист2!A:A,'общая таблица'!A469)</f>
        <v>563</v>
      </c>
      <c r="G469" s="7">
        <f>SUMIFS(Лист2!E:E,Лист2!B:B,'общая таблица'!B469,Лист2!A:A,'общая таблица'!A469)</f>
        <v>486</v>
      </c>
      <c r="H469" s="18">
        <f t="shared" si="14"/>
        <v>9526774743</v>
      </c>
      <c r="I469" t="str">
        <f t="shared" si="15"/>
        <v>четверг</v>
      </c>
    </row>
    <row r="470" spans="1:9" ht="14.25" customHeight="1" x14ac:dyDescent="0.3">
      <c r="A470" s="5">
        <v>43959</v>
      </c>
      <c r="B470" s="6" t="s">
        <v>12</v>
      </c>
      <c r="C470" s="22">
        <v>12528</v>
      </c>
      <c r="D470" s="22">
        <v>959703</v>
      </c>
      <c r="E470" s="7">
        <f>SUMIFS(Лист2!C:C,Лист2!B:B,'общая таблица'!B470,Лист2!A:A,'общая таблица'!A470)</f>
        <v>10</v>
      </c>
      <c r="F470" s="7">
        <f>SUMIFS(Лист2!D:D,Лист2!B:B,'общая таблица'!B470,Лист2!A:A,'общая таблица'!A470)</f>
        <v>638</v>
      </c>
      <c r="G470" s="7">
        <f>SUMIFS(Лист2!E:E,Лист2!B:B,'общая таблица'!B470,Лист2!A:A,'общая таблица'!A470)</f>
        <v>547</v>
      </c>
      <c r="H470" s="18">
        <f t="shared" si="14"/>
        <v>12023159184</v>
      </c>
      <c r="I470" t="str">
        <f t="shared" si="15"/>
        <v>пятница</v>
      </c>
    </row>
    <row r="471" spans="1:9" ht="14.25" customHeight="1" x14ac:dyDescent="0.3">
      <c r="A471" s="8">
        <v>43960</v>
      </c>
      <c r="B471" s="9" t="s">
        <v>12</v>
      </c>
      <c r="C471" s="21">
        <v>13216.5</v>
      </c>
      <c r="D471" s="21">
        <v>1046400</v>
      </c>
      <c r="E471" s="7">
        <f>SUMIFS(Лист2!C:C,Лист2!B:B,'общая таблица'!B471,Лист2!A:A,'общая таблица'!A471)</f>
        <v>10</v>
      </c>
      <c r="F471" s="7">
        <f>SUMIFS(Лист2!D:D,Лист2!B:B,'общая таблица'!B471,Лист2!A:A,'общая таблица'!A471)</f>
        <v>644</v>
      </c>
      <c r="G471" s="7">
        <f>SUMIFS(Лист2!E:E,Лист2!B:B,'общая таблица'!B471,Лист2!A:A,'общая таблица'!A471)</f>
        <v>559</v>
      </c>
      <c r="H471" s="18">
        <f t="shared" si="14"/>
        <v>13829745600</v>
      </c>
      <c r="I471" t="str">
        <f t="shared" si="15"/>
        <v>суббота</v>
      </c>
    </row>
    <row r="472" spans="1:9" ht="14.25" customHeight="1" x14ac:dyDescent="0.3">
      <c r="A472" s="14">
        <v>43961</v>
      </c>
      <c r="B472" s="16" t="s">
        <v>12</v>
      </c>
      <c r="C472" s="20">
        <v>12918</v>
      </c>
      <c r="D472" s="20">
        <v>1004788.5</v>
      </c>
      <c r="E472" s="7">
        <f>SUMIFS(Лист2!C:C,Лист2!B:B,'общая таблица'!B472,Лист2!A:A,'общая таблица'!A472)</f>
        <v>10</v>
      </c>
      <c r="F472" s="7">
        <f>SUMIFS(Лист2!D:D,Лист2!B:B,'общая таблица'!B472,Лист2!A:A,'общая таблица'!A472)</f>
        <v>642</v>
      </c>
      <c r="G472" s="7">
        <f>SUMIFS(Лист2!E:E,Лист2!B:B,'общая таблица'!B472,Лист2!A:A,'общая таблица'!A472)</f>
        <v>556</v>
      </c>
      <c r="H472" s="18">
        <f t="shared" si="14"/>
        <v>12979857843</v>
      </c>
      <c r="I472" t="str">
        <f t="shared" si="15"/>
        <v>воскресенье</v>
      </c>
    </row>
    <row r="473" spans="1:9" ht="14.25" customHeight="1" x14ac:dyDescent="0.3">
      <c r="A473" s="8">
        <v>43962</v>
      </c>
      <c r="B473" s="9" t="s">
        <v>12</v>
      </c>
      <c r="C473" s="21">
        <v>9007.5</v>
      </c>
      <c r="D473" s="21">
        <v>734335.5</v>
      </c>
      <c r="E473" s="7">
        <f>SUMIFS(Лист2!C:C,Лист2!B:B,'общая таблица'!B473,Лист2!A:A,'общая таблица'!A473)</f>
        <v>10</v>
      </c>
      <c r="F473" s="7">
        <f>SUMIFS(Лист2!D:D,Лист2!B:B,'общая таблица'!B473,Лист2!A:A,'общая таблица'!A473)</f>
        <v>494</v>
      </c>
      <c r="G473" s="7">
        <f>SUMIFS(Лист2!E:E,Лист2!B:B,'общая таблица'!B473,Лист2!A:A,'общая таблица'!A473)</f>
        <v>421</v>
      </c>
      <c r="H473" s="18">
        <f t="shared" si="14"/>
        <v>6614527016.25</v>
      </c>
      <c r="I473" t="str">
        <f t="shared" si="15"/>
        <v>понедельник</v>
      </c>
    </row>
    <row r="474" spans="1:9" ht="14.25" customHeight="1" x14ac:dyDescent="0.3">
      <c r="A474" s="14">
        <v>43963</v>
      </c>
      <c r="B474" s="16" t="s">
        <v>12</v>
      </c>
      <c r="C474" s="20">
        <v>9328.5</v>
      </c>
      <c r="D474" s="20">
        <v>732964.5</v>
      </c>
      <c r="E474" s="7">
        <f>SUMIFS(Лист2!C:C,Лист2!B:B,'общая таблица'!B474,Лист2!A:A,'общая таблица'!A474)</f>
        <v>10</v>
      </c>
      <c r="F474" s="7">
        <f>SUMIFS(Лист2!D:D,Лист2!B:B,'общая таблица'!B474,Лист2!A:A,'общая таблица'!A474)</f>
        <v>526</v>
      </c>
      <c r="G474" s="7">
        <f>SUMIFS(Лист2!E:E,Лист2!B:B,'общая таблица'!B474,Лист2!A:A,'общая таблица'!A474)</f>
        <v>448</v>
      </c>
      <c r="H474" s="18">
        <f t="shared" si="14"/>
        <v>6837459338.25</v>
      </c>
      <c r="I474" t="str">
        <f t="shared" si="15"/>
        <v>вторник</v>
      </c>
    </row>
    <row r="475" spans="1:9" ht="14.25" customHeight="1" x14ac:dyDescent="0.3">
      <c r="A475" s="15">
        <v>43964</v>
      </c>
      <c r="B475" s="17" t="s">
        <v>12</v>
      </c>
      <c r="C475" s="23">
        <v>11202</v>
      </c>
      <c r="D475" s="23">
        <v>865714.5</v>
      </c>
      <c r="E475" s="7">
        <f>SUMIFS(Лист2!C:C,Лист2!B:B,'общая таблица'!B475,Лист2!A:A,'общая таблица'!A475)</f>
        <v>10</v>
      </c>
      <c r="F475" s="7">
        <f>SUMIFS(Лист2!D:D,Лист2!B:B,'общая таблица'!B475,Лист2!A:A,'общая таблица'!A475)</f>
        <v>612</v>
      </c>
      <c r="G475" s="7">
        <f>SUMIFS(Лист2!E:E,Лист2!B:B,'общая таблица'!B475,Лист2!A:A,'общая таблица'!A475)</f>
        <v>530</v>
      </c>
      <c r="H475" s="18">
        <f t="shared" si="14"/>
        <v>9697733829</v>
      </c>
      <c r="I475" t="str">
        <f t="shared" si="15"/>
        <v>среда</v>
      </c>
    </row>
    <row r="476" spans="1:9" ht="14.25" customHeight="1" x14ac:dyDescent="0.3">
      <c r="A476" s="5">
        <v>43965</v>
      </c>
      <c r="B476" s="6" t="s">
        <v>12</v>
      </c>
      <c r="C476" s="22">
        <v>12037.5</v>
      </c>
      <c r="D476" s="22">
        <v>981564</v>
      </c>
      <c r="E476" s="7">
        <f>SUMIFS(Лист2!C:C,Лист2!B:B,'общая таблица'!B476,Лист2!A:A,'общая таблица'!A476)</f>
        <v>10</v>
      </c>
      <c r="F476" s="7">
        <f>SUMIFS(Лист2!D:D,Лист2!B:B,'общая таблица'!B476,Лист2!A:A,'общая таблица'!A476)</f>
        <v>627</v>
      </c>
      <c r="G476" s="7">
        <f>SUMIFS(Лист2!E:E,Лист2!B:B,'общая таблица'!B476,Лист2!A:A,'общая таблица'!A476)</f>
        <v>545</v>
      </c>
      <c r="H476" s="18">
        <f t="shared" si="14"/>
        <v>11815576650</v>
      </c>
      <c r="I476" t="str">
        <f t="shared" si="15"/>
        <v>четверг</v>
      </c>
    </row>
    <row r="477" spans="1:9" ht="14.25" customHeight="1" x14ac:dyDescent="0.3">
      <c r="A477" s="8">
        <v>43966</v>
      </c>
      <c r="B477" s="9" t="s">
        <v>12</v>
      </c>
      <c r="C477" s="21">
        <v>14421</v>
      </c>
      <c r="D477" s="21">
        <v>1150579.5</v>
      </c>
      <c r="E477" s="7">
        <f>SUMIFS(Лист2!C:C,Лист2!B:B,'общая таблица'!B477,Лист2!A:A,'общая таблица'!A477)</f>
        <v>10</v>
      </c>
      <c r="F477" s="7">
        <f>SUMIFS(Лист2!D:D,Лист2!B:B,'общая таблица'!B477,Лист2!A:A,'общая таблица'!A477)</f>
        <v>743</v>
      </c>
      <c r="G477" s="7">
        <f>SUMIFS(Лист2!E:E,Лист2!B:B,'общая таблица'!B477,Лист2!A:A,'общая таблица'!A477)</f>
        <v>652</v>
      </c>
      <c r="H477" s="18">
        <f t="shared" si="14"/>
        <v>16592506969.5</v>
      </c>
      <c r="I477" t="str">
        <f t="shared" si="15"/>
        <v>пятница</v>
      </c>
    </row>
    <row r="478" spans="1:9" ht="14.25" customHeight="1" x14ac:dyDescent="0.3">
      <c r="A478" s="5">
        <v>43967</v>
      </c>
      <c r="B478" s="6" t="s">
        <v>12</v>
      </c>
      <c r="C478" s="22">
        <v>14265</v>
      </c>
      <c r="D478" s="22">
        <v>1130506.5</v>
      </c>
      <c r="E478" s="7">
        <f>SUMIFS(Лист2!C:C,Лист2!B:B,'общая таблица'!B478,Лист2!A:A,'общая таблица'!A478)</f>
        <v>10</v>
      </c>
      <c r="F478" s="7">
        <f>SUMIFS(Лист2!D:D,Лист2!B:B,'общая таблица'!B478,Лист2!A:A,'общая таблица'!A478)</f>
        <v>760</v>
      </c>
      <c r="G478" s="7">
        <f>SUMIFS(Лист2!E:E,Лист2!B:B,'общая таблица'!B478,Лист2!A:A,'общая таблица'!A478)</f>
        <v>672</v>
      </c>
      <c r="H478" s="18">
        <f t="shared" si="14"/>
        <v>16126675222.5</v>
      </c>
      <c r="I478" t="str">
        <f t="shared" si="15"/>
        <v>суббота</v>
      </c>
    </row>
    <row r="479" spans="1:9" ht="14.25" customHeight="1" x14ac:dyDescent="0.3">
      <c r="A479" s="15">
        <v>43968</v>
      </c>
      <c r="B479" s="17" t="s">
        <v>12</v>
      </c>
      <c r="C479" s="23">
        <v>10402.5</v>
      </c>
      <c r="D479" s="23">
        <v>843727.5</v>
      </c>
      <c r="E479" s="7">
        <f>SUMIFS(Лист2!C:C,Лист2!B:B,'общая таблица'!B479,Лист2!A:A,'общая таблица'!A479)</f>
        <v>10</v>
      </c>
      <c r="F479" s="7">
        <f>SUMIFS(Лист2!D:D,Лист2!B:B,'общая таблица'!B479,Лист2!A:A,'общая таблица'!A479)</f>
        <v>591</v>
      </c>
      <c r="G479" s="7">
        <f>SUMIFS(Лист2!E:E,Лист2!B:B,'общая таблица'!B479,Лист2!A:A,'общая таблица'!A479)</f>
        <v>513</v>
      </c>
      <c r="H479" s="18">
        <f t="shared" si="14"/>
        <v>8776875318.75</v>
      </c>
      <c r="I479" t="str">
        <f t="shared" si="15"/>
        <v>воскресенье</v>
      </c>
    </row>
    <row r="480" spans="1:9" ht="14.25" customHeight="1" x14ac:dyDescent="0.3">
      <c r="A480" s="14">
        <v>43969</v>
      </c>
      <c r="B480" s="16" t="s">
        <v>12</v>
      </c>
      <c r="C480" s="20">
        <v>11680.5</v>
      </c>
      <c r="D480" s="20">
        <v>936427.5</v>
      </c>
      <c r="E480" s="7">
        <f>SUMIFS(Лист2!C:C,Лист2!B:B,'общая таблица'!B480,Лист2!A:A,'общая таблица'!A480)</f>
        <v>10</v>
      </c>
      <c r="F480" s="7">
        <f>SUMIFS(Лист2!D:D,Лист2!B:B,'общая таблица'!B480,Лист2!A:A,'общая таблица'!A480)</f>
        <v>645</v>
      </c>
      <c r="G480" s="7">
        <f>SUMIFS(Лист2!E:E,Лист2!B:B,'общая таблица'!B480,Лист2!A:A,'общая таблица'!A480)</f>
        <v>565</v>
      </c>
      <c r="H480" s="18">
        <f t="shared" si="14"/>
        <v>10937941413.75</v>
      </c>
      <c r="I480" t="str">
        <f t="shared" si="15"/>
        <v>понедельник</v>
      </c>
    </row>
    <row r="481" spans="1:9" ht="14.25" customHeight="1" x14ac:dyDescent="0.3">
      <c r="A481" s="8">
        <v>43970</v>
      </c>
      <c r="B481" s="9" t="s">
        <v>12</v>
      </c>
      <c r="C481" s="21">
        <v>11526</v>
      </c>
      <c r="D481" s="21">
        <v>938764.5</v>
      </c>
      <c r="E481" s="7">
        <f>SUMIFS(Лист2!C:C,Лист2!B:B,'общая таблица'!B481,Лист2!A:A,'общая таблица'!A481)</f>
        <v>10</v>
      </c>
      <c r="F481" s="7">
        <f>SUMIFS(Лист2!D:D,Лист2!B:B,'общая таблица'!B481,Лист2!A:A,'общая таблица'!A481)</f>
        <v>649</v>
      </c>
      <c r="G481" s="7">
        <f>SUMIFS(Лист2!E:E,Лист2!B:B,'общая таблица'!B481,Лист2!A:A,'общая таблица'!A481)</f>
        <v>568</v>
      </c>
      <c r="H481" s="18">
        <f t="shared" si="14"/>
        <v>10820199627</v>
      </c>
      <c r="I481" t="str">
        <f t="shared" si="15"/>
        <v>вторник</v>
      </c>
    </row>
    <row r="482" spans="1:9" ht="14.25" customHeight="1" x14ac:dyDescent="0.3">
      <c r="A482" s="14">
        <v>43971</v>
      </c>
      <c r="B482" s="16" t="s">
        <v>12</v>
      </c>
      <c r="C482" s="20">
        <v>13063.5</v>
      </c>
      <c r="D482" s="20">
        <v>1037247</v>
      </c>
      <c r="E482" s="7">
        <f>SUMIFS(Лист2!C:C,Лист2!B:B,'общая таблица'!B482,Лист2!A:A,'общая таблица'!A482)</f>
        <v>10</v>
      </c>
      <c r="F482" s="7">
        <f>SUMIFS(Лист2!D:D,Лист2!B:B,'общая таблица'!B482,Лист2!A:A,'общая таблица'!A482)</f>
        <v>745</v>
      </c>
      <c r="G482" s="7">
        <f>SUMIFS(Лист2!E:E,Лист2!B:B,'общая таблица'!B482,Лист2!A:A,'общая таблица'!A482)</f>
        <v>654</v>
      </c>
      <c r="H482" s="18">
        <f t="shared" si="14"/>
        <v>13550076184.5</v>
      </c>
      <c r="I482" t="str">
        <f t="shared" si="15"/>
        <v>среда</v>
      </c>
    </row>
    <row r="483" spans="1:9" ht="14.25" customHeight="1" x14ac:dyDescent="0.3">
      <c r="A483" s="15">
        <v>43972</v>
      </c>
      <c r="B483" s="17" t="s">
        <v>12</v>
      </c>
      <c r="C483" s="23">
        <v>11250</v>
      </c>
      <c r="D483" s="23">
        <v>935523</v>
      </c>
      <c r="E483" s="7">
        <f>SUMIFS(Лист2!C:C,Лист2!B:B,'общая таблица'!B483,Лист2!A:A,'общая таблица'!A483)</f>
        <v>10</v>
      </c>
      <c r="F483" s="7">
        <f>SUMIFS(Лист2!D:D,Лист2!B:B,'общая таблица'!B483,Лист2!A:A,'общая таблица'!A483)</f>
        <v>677</v>
      </c>
      <c r="G483" s="7">
        <f>SUMIFS(Лист2!E:E,Лист2!B:B,'общая таблица'!B483,Лист2!A:A,'общая таблица'!A483)</f>
        <v>591</v>
      </c>
      <c r="H483" s="18">
        <f t="shared" si="14"/>
        <v>10524633750</v>
      </c>
      <c r="I483" t="str">
        <f t="shared" si="15"/>
        <v>четверг</v>
      </c>
    </row>
    <row r="484" spans="1:9" ht="14.25" customHeight="1" x14ac:dyDescent="0.3">
      <c r="A484" s="14">
        <v>43973</v>
      </c>
      <c r="B484" s="16" t="s">
        <v>12</v>
      </c>
      <c r="C484" s="20">
        <v>18036</v>
      </c>
      <c r="D484" s="20">
        <v>1455049.5</v>
      </c>
      <c r="E484" s="7">
        <f>SUMIFS(Лист2!C:C,Лист2!B:B,'общая таблица'!B484,Лист2!A:A,'общая таблица'!A484)</f>
        <v>10</v>
      </c>
      <c r="F484" s="7">
        <f>SUMIFS(Лист2!D:D,Лист2!B:B,'общая таблица'!B484,Лист2!A:A,'общая таблица'!A484)</f>
        <v>965</v>
      </c>
      <c r="G484" s="7">
        <f>SUMIFS(Лист2!E:E,Лист2!B:B,'общая таблица'!B484,Лист2!A:A,'общая таблица'!A484)</f>
        <v>861</v>
      </c>
      <c r="H484" s="18">
        <f t="shared" si="14"/>
        <v>26243272782</v>
      </c>
      <c r="I484" t="str">
        <f t="shared" si="15"/>
        <v>пятница</v>
      </c>
    </row>
    <row r="485" spans="1:9" ht="14.25" customHeight="1" x14ac:dyDescent="0.3">
      <c r="A485" s="8">
        <v>43974</v>
      </c>
      <c r="B485" s="9" t="s">
        <v>12</v>
      </c>
      <c r="C485" s="21">
        <v>14773.5</v>
      </c>
      <c r="D485" s="21">
        <v>1241383.5</v>
      </c>
      <c r="E485" s="7">
        <f>SUMIFS(Лист2!C:C,Лист2!B:B,'общая таблица'!B485,Лист2!A:A,'общая таблица'!A485)</f>
        <v>10</v>
      </c>
      <c r="F485" s="7">
        <f>SUMIFS(Лист2!D:D,Лист2!B:B,'общая таблица'!B485,Лист2!A:A,'общая таблица'!A485)</f>
        <v>828</v>
      </c>
      <c r="G485" s="7">
        <f>SUMIFS(Лист2!E:E,Лист2!B:B,'общая таблица'!B485,Лист2!A:A,'общая таблица'!A485)</f>
        <v>734</v>
      </c>
      <c r="H485" s="18">
        <f t="shared" si="14"/>
        <v>18339579137.25</v>
      </c>
      <c r="I485" t="str">
        <f t="shared" si="15"/>
        <v>суббота</v>
      </c>
    </row>
    <row r="486" spans="1:9" ht="14.25" customHeight="1" x14ac:dyDescent="0.3">
      <c r="A486" s="5">
        <v>43975</v>
      </c>
      <c r="B486" s="6" t="s">
        <v>12</v>
      </c>
      <c r="C486" s="22">
        <v>9994.5</v>
      </c>
      <c r="D486" s="22">
        <v>828984</v>
      </c>
      <c r="E486" s="7">
        <f>SUMIFS(Лист2!C:C,Лист2!B:B,'общая таблица'!B486,Лист2!A:A,'общая таблица'!A486)</f>
        <v>10</v>
      </c>
      <c r="F486" s="7">
        <f>SUMIFS(Лист2!D:D,Лист2!B:B,'общая таблица'!B486,Лист2!A:A,'общая таблица'!A486)</f>
        <v>639</v>
      </c>
      <c r="G486" s="7">
        <f>SUMIFS(Лист2!E:E,Лист2!B:B,'общая таблица'!B486,Лист2!A:A,'общая таблица'!A486)</f>
        <v>557</v>
      </c>
      <c r="H486" s="18">
        <f t="shared" si="14"/>
        <v>8285280588</v>
      </c>
      <c r="I486" t="str">
        <f t="shared" si="15"/>
        <v>воскресенье</v>
      </c>
    </row>
    <row r="487" spans="1:9" ht="14.25" customHeight="1" x14ac:dyDescent="0.3">
      <c r="A487" s="8">
        <v>43976</v>
      </c>
      <c r="B487" s="9" t="s">
        <v>12</v>
      </c>
      <c r="C487" s="21">
        <v>12280.5</v>
      </c>
      <c r="D487" s="21">
        <v>1030440</v>
      </c>
      <c r="E487" s="7">
        <f>SUMIFS(Лист2!C:C,Лист2!B:B,'общая таблица'!B487,Лист2!A:A,'общая таблица'!A487)</f>
        <v>10</v>
      </c>
      <c r="F487" s="7">
        <f>SUMIFS(Лист2!D:D,Лист2!B:B,'общая таблица'!B487,Лист2!A:A,'общая таблица'!A487)</f>
        <v>739</v>
      </c>
      <c r="G487" s="7">
        <f>SUMIFS(Лист2!E:E,Лист2!B:B,'общая таблица'!B487,Лист2!A:A,'общая таблица'!A487)</f>
        <v>642</v>
      </c>
      <c r="H487" s="18">
        <f t="shared" si="14"/>
        <v>12654318420</v>
      </c>
      <c r="I487" t="str">
        <f t="shared" si="15"/>
        <v>понедельник</v>
      </c>
    </row>
    <row r="488" spans="1:9" ht="14.25" customHeight="1" x14ac:dyDescent="0.3">
      <c r="A488" s="14">
        <v>43977</v>
      </c>
      <c r="B488" s="16" t="s">
        <v>12</v>
      </c>
      <c r="C488" s="20">
        <v>11835</v>
      </c>
      <c r="D488" s="20">
        <v>983109</v>
      </c>
      <c r="E488" s="7">
        <f>SUMIFS(Лист2!C:C,Лист2!B:B,'общая таблица'!B488,Лист2!A:A,'общая таблица'!A488)</f>
        <v>10</v>
      </c>
      <c r="F488" s="7">
        <f>SUMIFS(Лист2!D:D,Лист2!B:B,'общая таблица'!B488,Лист2!A:A,'общая таблица'!A488)</f>
        <v>692</v>
      </c>
      <c r="G488" s="7">
        <f>SUMIFS(Лист2!E:E,Лист2!B:B,'общая таблица'!B488,Лист2!A:A,'общая таблица'!A488)</f>
        <v>601</v>
      </c>
      <c r="H488" s="18">
        <f t="shared" si="14"/>
        <v>11635095015</v>
      </c>
      <c r="I488" t="str">
        <f t="shared" si="15"/>
        <v>вторник</v>
      </c>
    </row>
    <row r="489" spans="1:9" ht="14.25" customHeight="1" x14ac:dyDescent="0.3">
      <c r="A489" s="15">
        <v>43978</v>
      </c>
      <c r="B489" s="17" t="s">
        <v>12</v>
      </c>
      <c r="C489" s="23">
        <v>12490.5</v>
      </c>
      <c r="D489" s="23">
        <v>1054798.5</v>
      </c>
      <c r="E489" s="7">
        <f>SUMIFS(Лист2!C:C,Лист2!B:B,'общая таблица'!B489,Лист2!A:A,'общая таблица'!A489)</f>
        <v>10</v>
      </c>
      <c r="F489" s="7">
        <f>SUMIFS(Лист2!D:D,Лист2!B:B,'общая таблица'!B489,Лист2!A:A,'общая таблица'!A489)</f>
        <v>757</v>
      </c>
      <c r="G489" s="7">
        <f>SUMIFS(Лист2!E:E,Лист2!B:B,'общая таблица'!B489,Лист2!A:A,'общая таблица'!A489)</f>
        <v>660</v>
      </c>
      <c r="H489" s="18">
        <f t="shared" si="14"/>
        <v>13174960664.25</v>
      </c>
      <c r="I489" t="str">
        <f t="shared" si="15"/>
        <v>среда</v>
      </c>
    </row>
    <row r="490" spans="1:9" ht="14.25" customHeight="1" x14ac:dyDescent="0.3">
      <c r="A490" s="14">
        <v>43979</v>
      </c>
      <c r="B490" s="16" t="s">
        <v>12</v>
      </c>
      <c r="C490" s="20">
        <v>13038</v>
      </c>
      <c r="D490" s="20">
        <v>1114552.5</v>
      </c>
      <c r="E490" s="7">
        <f>SUMIFS(Лист2!C:C,Лист2!B:B,'общая таблица'!B490,Лист2!A:A,'общая таблица'!A490)</f>
        <v>10</v>
      </c>
      <c r="F490" s="7">
        <f>SUMIFS(Лист2!D:D,Лист2!B:B,'общая таблица'!B490,Лист2!A:A,'общая таблица'!A490)</f>
        <v>791</v>
      </c>
      <c r="G490" s="7">
        <f>SUMIFS(Лист2!E:E,Лист2!B:B,'общая таблица'!B490,Лист2!A:A,'общая таблица'!A490)</f>
        <v>697</v>
      </c>
      <c r="H490" s="18">
        <f t="shared" si="14"/>
        <v>14531535495</v>
      </c>
      <c r="I490" t="str">
        <f t="shared" si="15"/>
        <v>четверг</v>
      </c>
    </row>
    <row r="491" spans="1:9" ht="14.25" customHeight="1" x14ac:dyDescent="0.3">
      <c r="A491" s="15">
        <v>43980</v>
      </c>
      <c r="B491" s="17" t="s">
        <v>12</v>
      </c>
      <c r="C491" s="23">
        <v>14823</v>
      </c>
      <c r="D491" s="23">
        <v>1273464</v>
      </c>
      <c r="E491" s="7">
        <f>SUMIFS(Лист2!C:C,Лист2!B:B,'общая таблица'!B491,Лист2!A:A,'общая таблица'!A491)</f>
        <v>10</v>
      </c>
      <c r="F491" s="7">
        <f>SUMIFS(Лист2!D:D,Лист2!B:B,'общая таблица'!B491,Лист2!A:A,'общая таблица'!A491)</f>
        <v>873</v>
      </c>
      <c r="G491" s="7">
        <f>SUMIFS(Лист2!E:E,Лист2!B:B,'общая таблица'!B491,Лист2!A:A,'общая таблица'!A491)</f>
        <v>770</v>
      </c>
      <c r="H491" s="18">
        <f t="shared" si="14"/>
        <v>18876556872</v>
      </c>
      <c r="I491" t="str">
        <f t="shared" si="15"/>
        <v>пятница</v>
      </c>
    </row>
    <row r="492" spans="1:9" ht="14.25" customHeight="1" x14ac:dyDescent="0.3">
      <c r="A492" s="5">
        <v>43981</v>
      </c>
      <c r="B492" s="6" t="s">
        <v>12</v>
      </c>
      <c r="C492" s="22">
        <v>14728.5</v>
      </c>
      <c r="D492" s="22">
        <v>1260483</v>
      </c>
      <c r="E492" s="7">
        <f>SUMIFS(Лист2!C:C,Лист2!B:B,'общая таблица'!B492,Лист2!A:A,'общая таблица'!A492)</f>
        <v>10</v>
      </c>
      <c r="F492" s="7">
        <f>SUMIFS(Лист2!D:D,Лист2!B:B,'общая таблица'!B492,Лист2!A:A,'общая таблица'!A492)</f>
        <v>865</v>
      </c>
      <c r="G492" s="7">
        <f>SUMIFS(Лист2!E:E,Лист2!B:B,'общая таблица'!B492,Лист2!A:A,'общая таблица'!A492)</f>
        <v>763</v>
      </c>
      <c r="H492" s="18">
        <f t="shared" si="14"/>
        <v>18565023865.5</v>
      </c>
      <c r="I492" t="str">
        <f t="shared" si="15"/>
        <v>суббота</v>
      </c>
    </row>
    <row r="493" spans="1:9" ht="14.25" customHeight="1" x14ac:dyDescent="0.3">
      <c r="A493" s="8">
        <v>43982</v>
      </c>
      <c r="B493" s="9" t="s">
        <v>12</v>
      </c>
      <c r="C493" s="21">
        <v>12724.5</v>
      </c>
      <c r="D493" s="21">
        <v>1045515</v>
      </c>
      <c r="E493" s="7">
        <f>SUMIFS(Лист2!C:C,Лист2!B:B,'общая таблица'!B493,Лист2!A:A,'общая таблица'!A493)</f>
        <v>10</v>
      </c>
      <c r="F493" s="7">
        <f>SUMIFS(Лист2!D:D,Лист2!B:B,'общая таблица'!B493,Лист2!A:A,'общая таблица'!A493)</f>
        <v>749</v>
      </c>
      <c r="G493" s="7">
        <f>SUMIFS(Лист2!E:E,Лист2!B:B,'общая таблица'!B493,Лист2!A:A,'общая таблица'!A493)</f>
        <v>655</v>
      </c>
      <c r="H493" s="18">
        <f t="shared" si="14"/>
        <v>13303655617.5</v>
      </c>
      <c r="I493" t="str">
        <f t="shared" si="15"/>
        <v>воскресенье</v>
      </c>
    </row>
    <row r="494" spans="1:9" ht="14.25" customHeight="1" x14ac:dyDescent="0.3">
      <c r="A494" s="5">
        <v>43983</v>
      </c>
      <c r="B494" s="6" t="s">
        <v>12</v>
      </c>
      <c r="C494" s="22">
        <v>11416.5</v>
      </c>
      <c r="D494" s="22">
        <v>1007742</v>
      </c>
      <c r="E494" s="7">
        <f>SUMIFS(Лист2!C:C,Лист2!B:B,'общая таблица'!B494,Лист2!A:A,'общая таблица'!A494)</f>
        <v>10</v>
      </c>
      <c r="F494" s="7">
        <f>SUMIFS(Лист2!D:D,Лист2!B:B,'общая таблица'!B494,Лист2!A:A,'общая таблица'!A494)</f>
        <v>719</v>
      </c>
      <c r="G494" s="7">
        <f>SUMIFS(Лист2!E:E,Лист2!B:B,'общая таблица'!B494,Лист2!A:A,'общая таблица'!A494)</f>
        <v>627</v>
      </c>
      <c r="H494" s="18">
        <f t="shared" si="14"/>
        <v>11504886543</v>
      </c>
      <c r="I494" t="str">
        <f t="shared" si="15"/>
        <v>понедельник</v>
      </c>
    </row>
    <row r="495" spans="1:9" ht="14.25" customHeight="1" x14ac:dyDescent="0.3">
      <c r="A495" s="15">
        <v>43982</v>
      </c>
      <c r="B495" s="17" t="s">
        <v>25</v>
      </c>
      <c r="C495" s="23">
        <v>6409.5</v>
      </c>
      <c r="D495" s="23">
        <v>493893</v>
      </c>
      <c r="E495" s="7">
        <f>SUMIFS(Лист2!C:C,Лист2!B:B,'общая таблица'!B495,Лист2!A:A,'общая таблица'!A495)</f>
        <v>9</v>
      </c>
      <c r="F495" s="7">
        <f>SUMIFS(Лист2!D:D,Лист2!B:B,'общая таблица'!B495,Лист2!A:A,'общая таблица'!A495)</f>
        <v>345</v>
      </c>
      <c r="G495" s="7">
        <f>SUMIFS(Лист2!E:E,Лист2!B:B,'общая таблица'!B495,Лист2!A:A,'общая таблица'!A495)</f>
        <v>255</v>
      </c>
      <c r="H495" s="18">
        <f t="shared" si="14"/>
        <v>3165607183.5</v>
      </c>
      <c r="I495" t="str">
        <f t="shared" si="15"/>
        <v>воскресенье</v>
      </c>
    </row>
    <row r="496" spans="1:9" ht="14.25" customHeight="1" x14ac:dyDescent="0.3">
      <c r="A496" s="14">
        <v>43983</v>
      </c>
      <c r="B496" s="16" t="s">
        <v>25</v>
      </c>
      <c r="C496" s="20">
        <v>5166</v>
      </c>
      <c r="D496" s="20">
        <v>389013</v>
      </c>
      <c r="E496" s="7">
        <f>SUMIFS(Лист2!C:C,Лист2!B:B,'общая таблица'!B496,Лист2!A:A,'общая таблица'!A496)</f>
        <v>9</v>
      </c>
      <c r="F496" s="7">
        <f>SUMIFS(Лист2!D:D,Лист2!B:B,'общая таблица'!B496,Лист2!A:A,'общая таблица'!A496)</f>
        <v>294</v>
      </c>
      <c r="G496" s="7">
        <f>SUMIFS(Лист2!E:E,Лист2!B:B,'общая таблица'!B496,Лист2!A:A,'общая таблица'!A496)</f>
        <v>224</v>
      </c>
      <c r="H496" s="18">
        <f t="shared" si="14"/>
        <v>2009641158</v>
      </c>
      <c r="I496" t="str">
        <f t="shared" si="15"/>
        <v>понедельник</v>
      </c>
    </row>
    <row r="497" spans="1:9" ht="14.25" customHeight="1" x14ac:dyDescent="0.3">
      <c r="A497" s="15">
        <v>43977</v>
      </c>
      <c r="B497" s="17" t="s">
        <v>24</v>
      </c>
      <c r="C497" s="23">
        <v>10437</v>
      </c>
      <c r="D497" s="23">
        <v>833815.5</v>
      </c>
      <c r="E497" s="7">
        <f>SUMIFS(Лист2!C:C,Лист2!B:B,'общая таблица'!B497,Лист2!A:A,'общая таблица'!A497)</f>
        <v>7</v>
      </c>
      <c r="F497" s="7">
        <f>SUMIFS(Лист2!D:D,Лист2!B:B,'общая таблица'!B497,Лист2!A:A,'общая таблица'!A497)</f>
        <v>577</v>
      </c>
      <c r="G497" s="7">
        <f>SUMIFS(Лист2!E:E,Лист2!B:B,'общая таблица'!B497,Лист2!A:A,'общая таблица'!A497)</f>
        <v>389</v>
      </c>
      <c r="H497" s="18">
        <f t="shared" si="14"/>
        <v>8702532373.5</v>
      </c>
      <c r="I497" t="str">
        <f t="shared" si="15"/>
        <v>вторник</v>
      </c>
    </row>
    <row r="498" spans="1:9" ht="14.25" customHeight="1" x14ac:dyDescent="0.3">
      <c r="A498" s="14">
        <v>43978</v>
      </c>
      <c r="B498" s="16" t="s">
        <v>24</v>
      </c>
      <c r="C498" s="20">
        <v>8362.5</v>
      </c>
      <c r="D498" s="20">
        <v>687684</v>
      </c>
      <c r="E498" s="7">
        <f>SUMIFS(Лист2!C:C,Лист2!B:B,'общая таблица'!B498,Лист2!A:A,'общая таблица'!A498)</f>
        <v>7</v>
      </c>
      <c r="F498" s="7">
        <f>SUMIFS(Лист2!D:D,Лист2!B:B,'общая таблица'!B498,Лист2!A:A,'общая таблица'!A498)</f>
        <v>409</v>
      </c>
      <c r="G498" s="7">
        <f>SUMIFS(Лист2!E:E,Лист2!B:B,'общая таблица'!B498,Лист2!A:A,'общая таблица'!A498)</f>
        <v>329</v>
      </c>
      <c r="H498" s="18">
        <f t="shared" si="14"/>
        <v>5750757450</v>
      </c>
      <c r="I498" t="str">
        <f t="shared" si="15"/>
        <v>среда</v>
      </c>
    </row>
    <row r="499" spans="1:9" ht="14.25" customHeight="1" x14ac:dyDescent="0.3">
      <c r="A499" s="8">
        <v>43979</v>
      </c>
      <c r="B499" s="9" t="s">
        <v>24</v>
      </c>
      <c r="C499" s="21">
        <v>8428.5</v>
      </c>
      <c r="D499" s="21">
        <v>694669.5</v>
      </c>
      <c r="E499" s="7">
        <f>SUMIFS(Лист2!C:C,Лист2!B:B,'общая таблица'!B499,Лист2!A:A,'общая таблица'!A499)</f>
        <v>7</v>
      </c>
      <c r="F499" s="7">
        <f>SUMIFS(Лист2!D:D,Лист2!B:B,'общая таблица'!B499,Лист2!A:A,'общая таблица'!A499)</f>
        <v>420</v>
      </c>
      <c r="G499" s="7">
        <f>SUMIFS(Лист2!E:E,Лист2!B:B,'общая таблица'!B499,Лист2!A:A,'общая таблица'!A499)</f>
        <v>347</v>
      </c>
      <c r="H499" s="18">
        <f t="shared" si="14"/>
        <v>5855021880.75</v>
      </c>
      <c r="I499" t="str">
        <f t="shared" si="15"/>
        <v>четверг</v>
      </c>
    </row>
    <row r="500" spans="1:9" ht="14.25" customHeight="1" x14ac:dyDescent="0.3">
      <c r="A500" s="5">
        <v>43980</v>
      </c>
      <c r="B500" s="6" t="s">
        <v>24</v>
      </c>
      <c r="C500" s="22">
        <v>9927</v>
      </c>
      <c r="D500" s="22">
        <v>850840.5</v>
      </c>
      <c r="E500" s="7">
        <f>SUMIFS(Лист2!C:C,Лист2!B:B,'общая таблица'!B500,Лист2!A:A,'общая таблица'!A500)</f>
        <v>7</v>
      </c>
      <c r="F500" s="7">
        <f>SUMIFS(Лист2!D:D,Лист2!B:B,'общая таблица'!B500,Лист2!A:A,'общая таблица'!A500)</f>
        <v>491</v>
      </c>
      <c r="G500" s="7">
        <f>SUMIFS(Лист2!E:E,Лист2!B:B,'общая таблица'!B500,Лист2!A:A,'общая таблица'!A500)</f>
        <v>411</v>
      </c>
      <c r="H500" s="18">
        <f t="shared" si="14"/>
        <v>8446293643.5</v>
      </c>
      <c r="I500" t="str">
        <f t="shared" si="15"/>
        <v>пятница</v>
      </c>
    </row>
    <row r="501" spans="1:9" ht="14.25" customHeight="1" x14ac:dyDescent="0.3">
      <c r="A501" s="8">
        <v>43981</v>
      </c>
      <c r="B501" s="9" t="s">
        <v>24</v>
      </c>
      <c r="C501" s="21">
        <v>11220</v>
      </c>
      <c r="D501" s="21">
        <v>928675.5</v>
      </c>
      <c r="E501" s="7">
        <f>SUMIFS(Лист2!C:C,Лист2!B:B,'общая таблица'!B501,Лист2!A:A,'общая таблица'!A501)</f>
        <v>7</v>
      </c>
      <c r="F501" s="7">
        <f>SUMIFS(Лист2!D:D,Лист2!B:B,'общая таблица'!B501,Лист2!A:A,'общая таблица'!A501)</f>
        <v>532</v>
      </c>
      <c r="G501" s="7">
        <f>SUMIFS(Лист2!E:E,Лист2!B:B,'общая таблица'!B501,Лист2!A:A,'общая таблица'!A501)</f>
        <v>449</v>
      </c>
      <c r="H501" s="18">
        <f t="shared" si="14"/>
        <v>10419739110</v>
      </c>
      <c r="I501" t="str">
        <f t="shared" si="15"/>
        <v>суббота</v>
      </c>
    </row>
    <row r="502" spans="1:9" ht="14.25" customHeight="1" x14ac:dyDescent="0.3">
      <c r="A502" s="5">
        <v>43982</v>
      </c>
      <c r="B502" s="6" t="s">
        <v>24</v>
      </c>
      <c r="C502" s="22">
        <v>10416</v>
      </c>
      <c r="D502" s="22">
        <v>866023.5</v>
      </c>
      <c r="E502" s="7">
        <f>SUMIFS(Лист2!C:C,Лист2!B:B,'общая таблица'!B502,Лист2!A:A,'общая таблица'!A502)</f>
        <v>7</v>
      </c>
      <c r="F502" s="7">
        <f>SUMIFS(Лист2!D:D,Лист2!B:B,'общая таблица'!B502,Лист2!A:A,'общая таблица'!A502)</f>
        <v>530</v>
      </c>
      <c r="G502" s="7">
        <f>SUMIFS(Лист2!E:E,Лист2!B:B,'общая таблица'!B502,Лист2!A:A,'общая таблица'!A502)</f>
        <v>447</v>
      </c>
      <c r="H502" s="18">
        <f t="shared" si="14"/>
        <v>9020500776</v>
      </c>
      <c r="I502" t="str">
        <f t="shared" si="15"/>
        <v>воскресенье</v>
      </c>
    </row>
    <row r="503" spans="1:9" ht="14.25" customHeight="1" x14ac:dyDescent="0.3">
      <c r="A503" s="8">
        <v>43983</v>
      </c>
      <c r="B503" s="9" t="s">
        <v>24</v>
      </c>
      <c r="C503" s="21">
        <v>9474</v>
      </c>
      <c r="D503" s="21">
        <v>802447.5</v>
      </c>
      <c r="E503" s="7">
        <f>SUMIFS(Лист2!C:C,Лист2!B:B,'общая таблица'!B503,Лист2!A:A,'общая таблица'!A503)</f>
        <v>7</v>
      </c>
      <c r="F503" s="7">
        <f>SUMIFS(Лист2!D:D,Лист2!B:B,'общая таблица'!B503,Лист2!A:A,'общая таблица'!A503)</f>
        <v>500</v>
      </c>
      <c r="G503" s="7">
        <f>SUMIFS(Лист2!E:E,Лист2!B:B,'общая таблица'!B503,Лист2!A:A,'общая таблица'!A503)</f>
        <v>418</v>
      </c>
      <c r="H503" s="18">
        <f t="shared" si="14"/>
        <v>7602387615</v>
      </c>
      <c r="I503" t="str">
        <f t="shared" si="15"/>
        <v>понедельник</v>
      </c>
    </row>
    <row r="504" spans="1:9" ht="14.25" customHeight="1" x14ac:dyDescent="0.3">
      <c r="A504" s="5">
        <v>43982</v>
      </c>
      <c r="B504" s="6" t="s">
        <v>26</v>
      </c>
      <c r="C504" s="22">
        <v>5127</v>
      </c>
      <c r="D504" s="22">
        <v>468835.5</v>
      </c>
      <c r="E504" s="7">
        <f>SUMIFS(Лист2!C:C,Лист2!B:B,'общая таблица'!B504,Лист2!A:A,'общая таблица'!A504)</f>
        <v>6</v>
      </c>
      <c r="F504" s="7">
        <f>SUMIFS(Лист2!D:D,Лист2!B:B,'общая таблица'!B504,Лист2!A:A,'общая таблица'!A504)</f>
        <v>261</v>
      </c>
      <c r="G504" s="7">
        <f>SUMIFS(Лист2!E:E,Лист2!B:B,'общая таблица'!B504,Лист2!A:A,'общая таблица'!A504)</f>
        <v>188</v>
      </c>
      <c r="H504" s="18">
        <f t="shared" si="14"/>
        <v>2403719608.5</v>
      </c>
      <c r="I504" t="str">
        <f t="shared" si="15"/>
        <v>воскресенье</v>
      </c>
    </row>
    <row r="505" spans="1:9" ht="14.25" customHeight="1" x14ac:dyDescent="0.3">
      <c r="A505" s="10">
        <v>43983</v>
      </c>
      <c r="B505" s="11" t="s">
        <v>26</v>
      </c>
      <c r="C505" s="24">
        <v>4408.5</v>
      </c>
      <c r="D505" s="24">
        <v>410892</v>
      </c>
      <c r="E505" s="7">
        <f>SUMIFS(Лист2!C:C,Лист2!B:B,'общая таблица'!B505,Лист2!A:A,'общая таблица'!A505)</f>
        <v>6</v>
      </c>
      <c r="F505" s="7">
        <f>SUMIFS(Лист2!D:D,Лист2!B:B,'общая таблица'!B505,Лист2!A:A,'общая таблица'!A505)</f>
        <v>237</v>
      </c>
      <c r="G505" s="7">
        <f>SUMIFS(Лист2!E:E,Лист2!B:B,'общая таблица'!B505,Лист2!A:A,'общая таблица'!A505)</f>
        <v>175</v>
      </c>
      <c r="H505" s="18">
        <f t="shared" si="14"/>
        <v>1811417382</v>
      </c>
      <c r="I505" t="str">
        <f t="shared" si="15"/>
        <v>понедельник</v>
      </c>
    </row>
    <row r="506" spans="1:9" ht="14.25" customHeight="1" x14ac:dyDescent="0.3"/>
    <row r="507" spans="1:9" ht="14.25" customHeight="1" x14ac:dyDescent="0.3"/>
    <row r="508" spans="1:9" ht="14.25" customHeight="1" x14ac:dyDescent="0.3"/>
    <row r="509" spans="1:9" ht="14.25" customHeight="1" x14ac:dyDescent="0.3"/>
    <row r="510" spans="1:9" ht="14.25" customHeight="1" x14ac:dyDescent="0.3"/>
    <row r="511" spans="1:9" ht="14.25" customHeight="1" x14ac:dyDescent="0.3"/>
    <row r="512" spans="1:9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X505" xr:uid="{00000000-0001-0000-0000-000000000000}"/>
  <sortState xmlns:xlrd2="http://schemas.microsoft.com/office/spreadsheetml/2017/richdata2" ref="A2:D505">
    <sortCondition ref="B2:B505"/>
    <sortCondition ref="A2:A505"/>
  </sortState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6913F-0BBE-4004-BF46-FF7CC3446E25}">
  <sheetPr>
    <tabColor theme="9" tint="-0.249977111117893"/>
  </sheetPr>
  <dimension ref="A1:I24"/>
  <sheetViews>
    <sheetView zoomScale="85" zoomScaleNormal="85" workbookViewId="0">
      <selection activeCell="A24" sqref="A24:I24"/>
    </sheetView>
  </sheetViews>
  <sheetFormatPr defaultRowHeight="14.4" x14ac:dyDescent="0.3"/>
  <cols>
    <col min="1" max="1" width="38.44140625" bestFit="1" customWidth="1"/>
    <col min="2" max="2" width="24.33203125" bestFit="1" customWidth="1"/>
    <col min="3" max="8" width="21.77734375" bestFit="1" customWidth="1"/>
    <col min="9" max="9" width="23" bestFit="1" customWidth="1"/>
    <col min="10" max="10" width="17.6640625" customWidth="1"/>
  </cols>
  <sheetData>
    <row r="1" spans="1:9" x14ac:dyDescent="0.3">
      <c r="A1" s="25" t="s">
        <v>0</v>
      </c>
      <c r="B1" t="s">
        <v>37</v>
      </c>
    </row>
    <row r="3" spans="1:9" x14ac:dyDescent="0.3">
      <c r="A3" s="25" t="s">
        <v>40</v>
      </c>
      <c r="B3" s="25" t="s">
        <v>39</v>
      </c>
    </row>
    <row r="4" spans="1:9" x14ac:dyDescent="0.3">
      <c r="A4" s="25" t="s">
        <v>1</v>
      </c>
      <c r="B4" t="s">
        <v>29</v>
      </c>
      <c r="C4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35</v>
      </c>
      <c r="I4" t="s">
        <v>28</v>
      </c>
    </row>
    <row r="5" spans="1:9" ht="15" customHeight="1" x14ac:dyDescent="0.3">
      <c r="A5" s="26" t="s">
        <v>15</v>
      </c>
      <c r="B5" s="27">
        <v>13029048082498.004</v>
      </c>
      <c r="C5" s="27">
        <v>14190072516490.5</v>
      </c>
      <c r="D5" s="27">
        <v>14443386690768.75</v>
      </c>
      <c r="E5" s="27">
        <v>13837169239263</v>
      </c>
      <c r="F5" s="27">
        <v>28412199941949</v>
      </c>
      <c r="G5" s="27">
        <v>21011723133192</v>
      </c>
      <c r="H5" s="27">
        <v>14951216210103</v>
      </c>
      <c r="I5" s="27">
        <v>119874815814264.25</v>
      </c>
    </row>
    <row r="6" spans="1:9" ht="15" customHeight="1" x14ac:dyDescent="0.3">
      <c r="A6" s="26" t="s">
        <v>14</v>
      </c>
      <c r="B6" s="27">
        <v>7579194150701.25</v>
      </c>
      <c r="C6" s="27">
        <v>7719767488972.8896</v>
      </c>
      <c r="D6" s="27">
        <v>8383840028590.5</v>
      </c>
      <c r="E6" s="27">
        <v>7839815539334.625</v>
      </c>
      <c r="F6" s="27">
        <v>17666059298081.379</v>
      </c>
      <c r="G6" s="27">
        <v>13035242499513.75</v>
      </c>
      <c r="H6" s="27">
        <v>8632261325025</v>
      </c>
      <c r="I6" s="27">
        <v>70856180330219.391</v>
      </c>
    </row>
    <row r="7" spans="1:9" ht="15" customHeight="1" x14ac:dyDescent="0.3">
      <c r="A7" s="26" t="s">
        <v>21</v>
      </c>
      <c r="B7" s="27">
        <v>3674604891746.25</v>
      </c>
      <c r="C7" s="27">
        <v>6162650191507.5</v>
      </c>
      <c r="D7" s="27">
        <v>4816821249396</v>
      </c>
      <c r="E7" s="27">
        <v>4102084641692.25</v>
      </c>
      <c r="F7" s="27">
        <v>5366312737458.75</v>
      </c>
      <c r="G7" s="27">
        <v>6043856672637</v>
      </c>
      <c r="H7" s="27">
        <v>4646822180170.5</v>
      </c>
      <c r="I7" s="27">
        <v>34813152564608.25</v>
      </c>
    </row>
    <row r="8" spans="1:9" ht="15" customHeight="1" x14ac:dyDescent="0.3">
      <c r="A8" s="26" t="s">
        <v>22</v>
      </c>
      <c r="B8" s="27">
        <v>3465610029846</v>
      </c>
      <c r="C8" s="27">
        <v>5543486959477.5</v>
      </c>
      <c r="D8" s="27">
        <v>4264672042134</v>
      </c>
      <c r="E8" s="27">
        <v>3746406678414.75</v>
      </c>
      <c r="F8" s="27">
        <v>5076720327114</v>
      </c>
      <c r="G8" s="27">
        <v>5910810673320</v>
      </c>
      <c r="H8" s="27">
        <v>4283467223987.25</v>
      </c>
      <c r="I8" s="27">
        <v>32291173934293.5</v>
      </c>
    </row>
    <row r="9" spans="1:9" ht="15" customHeight="1" x14ac:dyDescent="0.3">
      <c r="A9" s="26" t="s">
        <v>11</v>
      </c>
      <c r="B9" s="27">
        <v>527744619344.25</v>
      </c>
      <c r="C9" s="27">
        <v>533953186742.25</v>
      </c>
      <c r="D9" s="27">
        <v>526333252965.75</v>
      </c>
      <c r="E9" s="27">
        <v>518978882299.5</v>
      </c>
      <c r="F9" s="27">
        <v>646756780032</v>
      </c>
      <c r="G9" s="27">
        <v>990915669022.5</v>
      </c>
      <c r="H9" s="27">
        <v>669748679151.75</v>
      </c>
      <c r="I9" s="27">
        <v>4414431069558</v>
      </c>
    </row>
    <row r="10" spans="1:9" ht="15" customHeight="1" x14ac:dyDescent="0.3">
      <c r="A10" s="26" t="s">
        <v>16</v>
      </c>
      <c r="B10" s="27">
        <v>375510774600</v>
      </c>
      <c r="C10" s="27">
        <v>397215211371.75</v>
      </c>
      <c r="D10" s="27">
        <v>413089537887</v>
      </c>
      <c r="E10" s="27">
        <v>426799563795</v>
      </c>
      <c r="F10" s="27">
        <v>610318689232.5</v>
      </c>
      <c r="G10" s="27">
        <v>972854074899</v>
      </c>
      <c r="H10" s="27">
        <v>495588934973.25</v>
      </c>
      <c r="I10" s="27">
        <v>3691376786758.5</v>
      </c>
    </row>
    <row r="11" spans="1:9" ht="15" customHeight="1" x14ac:dyDescent="0.3">
      <c r="A11" s="26" t="s">
        <v>17</v>
      </c>
      <c r="B11" s="27">
        <v>156652825153.5</v>
      </c>
      <c r="C11" s="27">
        <v>150767321539.5</v>
      </c>
      <c r="D11" s="27">
        <v>152823928266</v>
      </c>
      <c r="E11" s="27">
        <v>161361907281</v>
      </c>
      <c r="F11" s="27">
        <v>183118069422</v>
      </c>
      <c r="G11" s="27">
        <v>215185962489.75</v>
      </c>
      <c r="H11" s="27">
        <v>169443973930.5</v>
      </c>
      <c r="I11" s="27">
        <v>1189353988082.25</v>
      </c>
    </row>
    <row r="12" spans="1:9" ht="15" customHeight="1" x14ac:dyDescent="0.3">
      <c r="A12" s="26" t="s">
        <v>10</v>
      </c>
      <c r="B12" s="27">
        <v>94085049118.5</v>
      </c>
      <c r="C12" s="27">
        <v>99277339590</v>
      </c>
      <c r="D12" s="27">
        <v>98967916975.5</v>
      </c>
      <c r="E12" s="27">
        <v>87611476972.5</v>
      </c>
      <c r="F12" s="27">
        <v>113138696560.5</v>
      </c>
      <c r="G12" s="27">
        <v>172562439784.5</v>
      </c>
      <c r="H12" s="27">
        <v>128530641105</v>
      </c>
      <c r="I12" s="27">
        <v>794173560106.5</v>
      </c>
    </row>
    <row r="13" spans="1:9" ht="15" customHeight="1" x14ac:dyDescent="0.3">
      <c r="A13" s="26" t="s">
        <v>13</v>
      </c>
      <c r="B13" s="27">
        <v>96946187796</v>
      </c>
      <c r="C13" s="27">
        <v>91313057277</v>
      </c>
      <c r="D13" s="27">
        <v>91399625181</v>
      </c>
      <c r="E13" s="27">
        <v>96056722449</v>
      </c>
      <c r="F13" s="27">
        <v>115159176684</v>
      </c>
      <c r="G13" s="27">
        <v>145680655855.5</v>
      </c>
      <c r="H13" s="27">
        <v>96819591640.5</v>
      </c>
      <c r="I13" s="27">
        <v>733375016883</v>
      </c>
    </row>
    <row r="14" spans="1:9" ht="15" customHeight="1" x14ac:dyDescent="0.3">
      <c r="A14" s="26" t="s">
        <v>20</v>
      </c>
      <c r="B14" s="27">
        <v>70989531300</v>
      </c>
      <c r="C14" s="27">
        <v>65467766268</v>
      </c>
      <c r="D14" s="27">
        <v>68962481775</v>
      </c>
      <c r="E14" s="27">
        <v>72162086665.5</v>
      </c>
      <c r="F14" s="27">
        <v>93585563223.75</v>
      </c>
      <c r="G14" s="27">
        <v>104229491121</v>
      </c>
      <c r="H14" s="27">
        <v>87664945376.25</v>
      </c>
      <c r="I14" s="27">
        <v>563061865729.5</v>
      </c>
    </row>
    <row r="15" spans="1:9" ht="15" customHeight="1" x14ac:dyDescent="0.3">
      <c r="A15" s="26" t="s">
        <v>18</v>
      </c>
      <c r="B15" s="27">
        <v>25475279343.75</v>
      </c>
      <c r="C15" s="27">
        <v>25897503307.5</v>
      </c>
      <c r="D15" s="27">
        <v>28966133830.5</v>
      </c>
      <c r="E15" s="27">
        <v>24550812000</v>
      </c>
      <c r="F15" s="27">
        <v>34670451843</v>
      </c>
      <c r="G15" s="27">
        <v>66961345626</v>
      </c>
      <c r="H15" s="27">
        <v>28163797895.25</v>
      </c>
      <c r="I15" s="27">
        <v>234685323846</v>
      </c>
    </row>
    <row r="16" spans="1:9" ht="15" customHeight="1" x14ac:dyDescent="0.3">
      <c r="A16" s="26" t="s">
        <v>23</v>
      </c>
      <c r="B16" s="27">
        <v>18412852122</v>
      </c>
      <c r="C16" s="27">
        <v>17454177501.75</v>
      </c>
      <c r="D16" s="27">
        <v>20625647562</v>
      </c>
      <c r="E16" s="27">
        <v>21752331354</v>
      </c>
      <c r="F16" s="27">
        <v>24274876329</v>
      </c>
      <c r="G16" s="27">
        <v>36683020296</v>
      </c>
      <c r="H16" s="27">
        <v>22978107630</v>
      </c>
      <c r="I16" s="27">
        <v>162181012794.75</v>
      </c>
    </row>
    <row r="17" spans="1:9" ht="15" customHeight="1" x14ac:dyDescent="0.3">
      <c r="A17" s="26" t="s">
        <v>19</v>
      </c>
      <c r="B17" s="27">
        <v>25795361070</v>
      </c>
      <c r="C17" s="27">
        <v>14123606013</v>
      </c>
      <c r="D17" s="27">
        <v>15994866771</v>
      </c>
      <c r="E17" s="27">
        <v>17188472281.5</v>
      </c>
      <c r="F17" s="27">
        <v>26413889040</v>
      </c>
      <c r="G17" s="27">
        <v>28876738113</v>
      </c>
      <c r="H17" s="27">
        <v>19795178916</v>
      </c>
      <c r="I17" s="27">
        <v>148188112204.5</v>
      </c>
    </row>
    <row r="18" spans="1:9" ht="15" customHeight="1" x14ac:dyDescent="0.3">
      <c r="A18" s="26" t="s">
        <v>12</v>
      </c>
      <c r="B18" s="27">
        <v>11504886543</v>
      </c>
      <c r="C18" s="27">
        <v>11635095015</v>
      </c>
      <c r="D18" s="27">
        <v>13174960664.25</v>
      </c>
      <c r="E18" s="27">
        <v>14531535495</v>
      </c>
      <c r="F18" s="27">
        <v>18876556872</v>
      </c>
      <c r="G18" s="27">
        <v>18565023865.5</v>
      </c>
      <c r="H18" s="27">
        <v>13303655617.5</v>
      </c>
      <c r="I18" s="27">
        <v>101591714072.25</v>
      </c>
    </row>
    <row r="19" spans="1:9" ht="15" customHeight="1" x14ac:dyDescent="0.3">
      <c r="A19" s="26" t="s">
        <v>24</v>
      </c>
      <c r="B19" s="27">
        <v>7602387615</v>
      </c>
      <c r="C19" s="27">
        <v>8702532373.5</v>
      </c>
      <c r="D19" s="27">
        <v>5750757450</v>
      </c>
      <c r="E19" s="27">
        <v>5855021880.75</v>
      </c>
      <c r="F19" s="27">
        <v>8446293643.5</v>
      </c>
      <c r="G19" s="27">
        <v>10419739110</v>
      </c>
      <c r="H19" s="27">
        <v>9020500776</v>
      </c>
      <c r="I19" s="27">
        <v>55797232848.75</v>
      </c>
    </row>
    <row r="20" spans="1:9" ht="15" customHeight="1" x14ac:dyDescent="0.3">
      <c r="A20" s="26" t="s">
        <v>9</v>
      </c>
      <c r="B20" s="27">
        <v>4973990692.5</v>
      </c>
      <c r="C20" s="27"/>
      <c r="D20" s="27"/>
      <c r="E20" s="27">
        <v>5497027956</v>
      </c>
      <c r="F20" s="27">
        <v>5438154568.5</v>
      </c>
      <c r="G20" s="27">
        <v>7893835929</v>
      </c>
      <c r="H20" s="27">
        <v>4956829596</v>
      </c>
      <c r="I20" s="27">
        <v>28759838742</v>
      </c>
    </row>
    <row r="21" spans="1:9" ht="15" customHeight="1" x14ac:dyDescent="0.3">
      <c r="A21" s="26" t="s">
        <v>25</v>
      </c>
      <c r="B21" s="27">
        <v>2009641158</v>
      </c>
      <c r="C21" s="27"/>
      <c r="D21" s="27"/>
      <c r="E21" s="27"/>
      <c r="F21" s="27"/>
      <c r="G21" s="27"/>
      <c r="H21" s="27">
        <v>3165607183.5</v>
      </c>
      <c r="I21" s="27">
        <v>5175248341.5</v>
      </c>
    </row>
    <row r="22" spans="1:9" ht="15" customHeight="1" x14ac:dyDescent="0.3">
      <c r="A22" s="26" t="s">
        <v>26</v>
      </c>
      <c r="B22" s="27">
        <v>1811417382</v>
      </c>
      <c r="C22" s="27"/>
      <c r="D22" s="27"/>
      <c r="E22" s="27"/>
      <c r="F22" s="27"/>
      <c r="G22" s="27"/>
      <c r="H22" s="27">
        <v>2403719608.5</v>
      </c>
      <c r="I22" s="27">
        <v>4215136990.5</v>
      </c>
    </row>
    <row r="23" spans="1:9" x14ac:dyDescent="0.3">
      <c r="A23" s="26" t="s">
        <v>28</v>
      </c>
      <c r="B23" s="27">
        <v>29167971958030.004</v>
      </c>
      <c r="C23" s="27">
        <v>35031783953447.641</v>
      </c>
      <c r="D23" s="27">
        <v>33344809120217.25</v>
      </c>
      <c r="E23" s="27">
        <v>30977821939134.375</v>
      </c>
      <c r="F23" s="27">
        <v>58401489502053.875</v>
      </c>
      <c r="G23" s="27">
        <v>48772460974774.5</v>
      </c>
      <c r="H23" s="27">
        <v>34265351102685.75</v>
      </c>
      <c r="I23" s="27">
        <v>269961688550343.38</v>
      </c>
    </row>
    <row r="24" spans="1:9" ht="52.8" customHeight="1" x14ac:dyDescent="0.3"/>
  </sheetData>
  <conditionalFormatting sqref="A3:B3 A4:A22">
    <cfRule type="top10" dxfId="3" priority="2" rank="4"/>
  </conditionalFormatting>
  <conditionalFormatting pivot="1" sqref="I5:I22">
    <cfRule type="top10" dxfId="2" priority="1" rank="3"/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D47E045-207E-47D9-9C2D-B03B1C514086}">
          <x14:colorSeries rgb="FFFF000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'Топ 3 за последнюю неделю'!B5:B22</xm:f>
              <xm:sqref>B24</xm:sqref>
            </x14:sparkline>
            <x14:sparkline>
              <xm:f>'Топ 3 за последнюю неделю'!C5:C22</xm:f>
              <xm:sqref>C24</xm:sqref>
            </x14:sparkline>
            <x14:sparkline>
              <xm:f>'Топ 3 за последнюю неделю'!D5:D22</xm:f>
              <xm:sqref>D24</xm:sqref>
            </x14:sparkline>
            <x14:sparkline>
              <xm:f>'Топ 3 за последнюю неделю'!E5:E22</xm:f>
              <xm:sqref>E24</xm:sqref>
            </x14:sparkline>
            <x14:sparkline>
              <xm:f>'Топ 3 за последнюю неделю'!F5:F22</xm:f>
              <xm:sqref>F24</xm:sqref>
            </x14:sparkline>
            <x14:sparkline>
              <xm:f>'Топ 3 за последнюю неделю'!G5:G22</xm:f>
              <xm:sqref>G24</xm:sqref>
            </x14:sparkline>
            <x14:sparkline>
              <xm:f>'Топ 3 за последнюю неделю'!H5:H22</xm:f>
              <xm:sqref>H24</xm:sqref>
            </x14:sparkline>
            <x14:sparkline>
              <xm:f>'Топ 3 за последнюю неделю'!I5:I22</xm:f>
              <xm:sqref>I24</xm:sqref>
            </x14:sparkline>
          </x14:sparklines>
        </x14:sparklineGroup>
        <x14:sparklineGroup displayEmptyCellsAs="gap" high="1" low="1" xr2:uid="{7F62E73A-C3B0-4878-8296-08046372A52B}">
          <x14:colorSeries theme="5" tint="-0.499984740745262"/>
          <x14:colorNegative theme="6"/>
          <x14:colorAxis rgb="FF000000"/>
          <x14:colorMarkers theme="5" tint="-0.499984740745262"/>
          <x14:colorFirst theme="5" tint="0.39997558519241921"/>
          <x14:colorLast theme="5" tint="0.39997558519241921"/>
          <x14:colorHigh theme="5"/>
          <x14:colorLow theme="5"/>
          <x14:sparklines>
            <x14:sparkline>
              <xm:f>'Топ 3 за последнюю неделю'!B5:I5</xm:f>
              <xm:sqref>J5</xm:sqref>
            </x14:sparkline>
            <x14:sparkline>
              <xm:f>'Топ 3 за последнюю неделю'!B6:I6</xm:f>
              <xm:sqref>J6</xm:sqref>
            </x14:sparkline>
            <x14:sparkline>
              <xm:f>'Топ 3 за последнюю неделю'!B7:I7</xm:f>
              <xm:sqref>J7</xm:sqref>
            </x14:sparkline>
            <x14:sparkline>
              <xm:f>'Топ 3 за последнюю неделю'!B8:I8</xm:f>
              <xm:sqref>J8</xm:sqref>
            </x14:sparkline>
            <x14:sparkline>
              <xm:f>'Топ 3 за последнюю неделю'!B9:I9</xm:f>
              <xm:sqref>J9</xm:sqref>
            </x14:sparkline>
            <x14:sparkline>
              <xm:f>'Топ 3 за последнюю неделю'!B10:I10</xm:f>
              <xm:sqref>J10</xm:sqref>
            </x14:sparkline>
            <x14:sparkline>
              <xm:f>'Топ 3 за последнюю неделю'!B11:I11</xm:f>
              <xm:sqref>J11</xm:sqref>
            </x14:sparkline>
            <x14:sparkline>
              <xm:f>'Топ 3 за последнюю неделю'!B12:I12</xm:f>
              <xm:sqref>J12</xm:sqref>
            </x14:sparkline>
            <x14:sparkline>
              <xm:f>'Топ 3 за последнюю неделю'!B13:I13</xm:f>
              <xm:sqref>J13</xm:sqref>
            </x14:sparkline>
            <x14:sparkline>
              <xm:f>'Топ 3 за последнюю неделю'!B14:I14</xm:f>
              <xm:sqref>J14</xm:sqref>
            </x14:sparkline>
            <x14:sparkline>
              <xm:f>'Топ 3 за последнюю неделю'!B15:I15</xm:f>
              <xm:sqref>J15</xm:sqref>
            </x14:sparkline>
            <x14:sparkline>
              <xm:f>'Топ 3 за последнюю неделю'!B16:I16</xm:f>
              <xm:sqref>J16</xm:sqref>
            </x14:sparkline>
            <x14:sparkline>
              <xm:f>'Топ 3 за последнюю неделю'!B17:I17</xm:f>
              <xm:sqref>J17</xm:sqref>
            </x14:sparkline>
            <x14:sparkline>
              <xm:f>'Топ 3 за последнюю неделю'!B18:I18</xm:f>
              <xm:sqref>J18</xm:sqref>
            </x14:sparkline>
            <x14:sparkline>
              <xm:f>'Топ 3 за последнюю неделю'!B19:I19</xm:f>
              <xm:sqref>J19</xm:sqref>
            </x14:sparkline>
            <x14:sparkline>
              <xm:f>'Топ 3 за последнюю неделю'!B20:I20</xm:f>
              <xm:sqref>J20</xm:sqref>
            </x14:sparkline>
            <x14:sparkline>
              <xm:f>'Топ 3 за последнюю неделю'!B21:I21</xm:f>
              <xm:sqref>J21</xm:sqref>
            </x14:sparkline>
            <x14:sparkline>
              <xm:f>'Топ 3 за последнюю неделю'!B22:I22</xm:f>
              <xm:sqref>J22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C12B-B90C-4090-A943-F1F6CE2CC974}">
  <sheetPr>
    <tabColor theme="9" tint="-0.249977111117893"/>
  </sheetPr>
  <dimension ref="A3:I23"/>
  <sheetViews>
    <sheetView zoomScale="85" zoomScaleNormal="85" workbookViewId="0">
      <selection activeCell="K22" sqref="K22"/>
    </sheetView>
  </sheetViews>
  <sheetFormatPr defaultRowHeight="14.4" x14ac:dyDescent="0.3"/>
  <cols>
    <col min="1" max="1" width="21.88671875" bestFit="1" customWidth="1"/>
    <col min="2" max="2" width="14.44140625" bestFit="1" customWidth="1"/>
    <col min="3" max="3" width="8.44140625" bestFit="1" customWidth="1"/>
    <col min="4" max="5" width="8.21875" bestFit="1" customWidth="1"/>
    <col min="6" max="6" width="8.44140625" bestFit="1" customWidth="1"/>
    <col min="7" max="7" width="8.21875" bestFit="1" customWidth="1"/>
    <col min="8" max="8" width="12.5546875" bestFit="1" customWidth="1"/>
    <col min="9" max="10" width="12" bestFit="1" customWidth="1"/>
  </cols>
  <sheetData>
    <row r="3" spans="1:9" x14ac:dyDescent="0.3">
      <c r="A3" s="25" t="s">
        <v>38</v>
      </c>
      <c r="B3" s="25" t="s">
        <v>39</v>
      </c>
    </row>
    <row r="4" spans="1:9" s="30" customFormat="1" ht="30.6" customHeight="1" x14ac:dyDescent="0.3">
      <c r="A4" s="29" t="s">
        <v>1</v>
      </c>
      <c r="B4" s="30" t="s">
        <v>29</v>
      </c>
      <c r="C4" s="30" t="s">
        <v>30</v>
      </c>
      <c r="D4" s="30" t="s">
        <v>31</v>
      </c>
      <c r="E4" s="30" t="s">
        <v>32</v>
      </c>
      <c r="F4" s="30" t="s">
        <v>33</v>
      </c>
      <c r="G4" s="30" t="s">
        <v>34</v>
      </c>
      <c r="H4" s="30" t="s">
        <v>35</v>
      </c>
      <c r="I4" s="30" t="s">
        <v>28</v>
      </c>
    </row>
    <row r="5" spans="1:9" x14ac:dyDescent="0.3">
      <c r="A5" s="26" t="s">
        <v>15</v>
      </c>
      <c r="B5" s="28">
        <v>0.43408938678653164</v>
      </c>
      <c r="C5" s="28">
        <v>0.43245175047163265</v>
      </c>
      <c r="D5" s="28">
        <v>0.43830730876512392</v>
      </c>
      <c r="E5" s="28">
        <v>0.43655967354355779</v>
      </c>
      <c r="F5" s="28">
        <v>0.44921729898375212</v>
      </c>
      <c r="G5" s="28">
        <v>0.42706449640812849</v>
      </c>
      <c r="H5" s="28">
        <v>0.41889464093465623</v>
      </c>
      <c r="I5" s="28">
        <v>0.434315196971369</v>
      </c>
    </row>
    <row r="6" spans="1:9" x14ac:dyDescent="0.3">
      <c r="A6" s="26" t="s">
        <v>14</v>
      </c>
      <c r="B6" s="28">
        <v>0.24937871840013986</v>
      </c>
      <c r="C6" s="28">
        <v>0.24273725320564493</v>
      </c>
      <c r="D6" s="28">
        <v>0.24923799939253893</v>
      </c>
      <c r="E6" s="28">
        <v>0.24992026168399278</v>
      </c>
      <c r="F6" s="28">
        <v>0.27420341647285151</v>
      </c>
      <c r="G6" s="28">
        <v>0.25826706442484126</v>
      </c>
      <c r="H6" s="28">
        <v>0.24262647809277996</v>
      </c>
      <c r="I6" s="28">
        <v>0.25355389403747697</v>
      </c>
    </row>
    <row r="7" spans="1:9" x14ac:dyDescent="0.3">
      <c r="A7" s="26" t="s">
        <v>21</v>
      </c>
      <c r="B7" s="28">
        <v>0.14193623181626311</v>
      </c>
      <c r="C7" s="28">
        <v>0.14835308837041059</v>
      </c>
      <c r="D7" s="28">
        <v>0.13957360007715838</v>
      </c>
      <c r="E7" s="28">
        <v>0.14253494400426961</v>
      </c>
      <c r="F7" s="28">
        <v>0.12495107580215821</v>
      </c>
      <c r="G7" s="28">
        <v>0.140528337525722</v>
      </c>
      <c r="H7" s="28">
        <v>0.15274857926261579</v>
      </c>
      <c r="I7" s="28">
        <v>0.14071467978997587</v>
      </c>
    </row>
    <row r="8" spans="1:9" x14ac:dyDescent="0.3">
      <c r="A8" s="26" t="s">
        <v>22</v>
      </c>
      <c r="B8" s="28">
        <v>0.13046504530920874</v>
      </c>
      <c r="C8" s="28">
        <v>0.13488791540085751</v>
      </c>
      <c r="D8" s="28">
        <v>0.12962917713788188</v>
      </c>
      <c r="E8" s="28">
        <v>0.12937314954868465</v>
      </c>
      <c r="F8" s="28">
        <v>0.11344134401548034</v>
      </c>
      <c r="G8" s="28">
        <v>0.12807185177205754</v>
      </c>
      <c r="H8" s="28">
        <v>0.13974724420964071</v>
      </c>
      <c r="I8" s="28">
        <v>0.12859096771395054</v>
      </c>
    </row>
    <row r="9" spans="1:9" x14ac:dyDescent="0.3">
      <c r="A9" s="26" t="s">
        <v>11</v>
      </c>
      <c r="B9" s="28">
        <v>1.7070850226260825E-2</v>
      </c>
      <c r="C9" s="28">
        <v>1.6724730371789023E-2</v>
      </c>
      <c r="D9" s="28">
        <v>1.6630375381081884E-2</v>
      </c>
      <c r="E9" s="28">
        <v>1.5632901262054372E-2</v>
      </c>
      <c r="F9" s="28">
        <v>1.4803389763998812E-2</v>
      </c>
      <c r="G9" s="28">
        <v>1.6821000327476795E-2</v>
      </c>
      <c r="H9" s="28">
        <v>1.7293695007884042E-2</v>
      </c>
      <c r="I9" s="28">
        <v>1.6354407919722275E-2</v>
      </c>
    </row>
    <row r="10" spans="1:9" x14ac:dyDescent="0.3">
      <c r="A10" s="26" t="s">
        <v>16</v>
      </c>
      <c r="B10" s="28">
        <v>1.2461337734819229E-2</v>
      </c>
      <c r="C10" s="28">
        <v>1.2877553376529228E-2</v>
      </c>
      <c r="D10" s="28">
        <v>1.4578266773921487E-2</v>
      </c>
      <c r="E10" s="28">
        <v>1.3564777054086105E-2</v>
      </c>
      <c r="F10" s="28">
        <v>1.1138883118894379E-2</v>
      </c>
      <c r="G10" s="28">
        <v>1.5211298439694749E-2</v>
      </c>
      <c r="H10" s="28">
        <v>1.5128410181355469E-2</v>
      </c>
      <c r="I10" s="28">
        <v>1.3516357838689874E-2</v>
      </c>
    </row>
    <row r="11" spans="1:9" x14ac:dyDescent="0.3">
      <c r="A11" s="26" t="s">
        <v>17</v>
      </c>
      <c r="B11" s="28">
        <v>4.130284534868375E-3</v>
      </c>
      <c r="C11" s="28">
        <v>3.4740207893399935E-3</v>
      </c>
      <c r="D11" s="28">
        <v>3.5762883213810177E-3</v>
      </c>
      <c r="E11" s="28">
        <v>3.8120582809583838E-3</v>
      </c>
      <c r="F11" s="28">
        <v>4.148458543307248E-3</v>
      </c>
      <c r="G11" s="28">
        <v>3.7431972415695532E-3</v>
      </c>
      <c r="H11" s="28">
        <v>3.7840827415687884E-3</v>
      </c>
      <c r="I11" s="28">
        <v>3.8197912626666375E-3</v>
      </c>
    </row>
    <row r="12" spans="1:9" x14ac:dyDescent="0.3">
      <c r="A12" s="26" t="s">
        <v>10</v>
      </c>
      <c r="B12" s="28">
        <v>2.89130047360572E-3</v>
      </c>
      <c r="C12" s="28">
        <v>2.604909584278183E-3</v>
      </c>
      <c r="D12" s="28">
        <v>2.7093992514368084E-3</v>
      </c>
      <c r="E12" s="28">
        <v>2.539436133485689E-3</v>
      </c>
      <c r="F12" s="28">
        <v>2.2967789894083328E-3</v>
      </c>
      <c r="G12" s="28">
        <v>3.2298765820814052E-3</v>
      </c>
      <c r="H12" s="28">
        <v>3.0546794301268229E-3</v>
      </c>
      <c r="I12" s="28">
        <v>2.7508888731807794E-3</v>
      </c>
    </row>
    <row r="13" spans="1:9" x14ac:dyDescent="0.3">
      <c r="A13" s="26" t="s">
        <v>13</v>
      </c>
      <c r="B13" s="28">
        <v>3.3505025259680972E-3</v>
      </c>
      <c r="C13" s="28">
        <v>2.1419896979016253E-3</v>
      </c>
      <c r="D13" s="28">
        <v>2.1286574497140871E-3</v>
      </c>
      <c r="E13" s="28">
        <v>2.3021674722808892E-3</v>
      </c>
      <c r="F13" s="28">
        <v>2.0973789119941538E-3</v>
      </c>
      <c r="G13" s="28">
        <v>2.6665748365181877E-3</v>
      </c>
      <c r="H13" s="28">
        <v>2.4920254469650966E-3</v>
      </c>
      <c r="I13" s="28">
        <v>2.4312947413254273E-3</v>
      </c>
    </row>
    <row r="14" spans="1:9" x14ac:dyDescent="0.3">
      <c r="A14" s="26" t="s">
        <v>20</v>
      </c>
      <c r="B14" s="28">
        <v>2.099887635574867E-3</v>
      </c>
      <c r="C14" s="28">
        <v>1.9549561976097475E-3</v>
      </c>
      <c r="D14" s="28">
        <v>1.8923459489540559E-3</v>
      </c>
      <c r="E14" s="28">
        <v>1.981003421097592E-3</v>
      </c>
      <c r="F14" s="28">
        <v>1.8745286321581655E-3</v>
      </c>
      <c r="G14" s="28">
        <v>2.1296830802177893E-3</v>
      </c>
      <c r="H14" s="28">
        <v>2.1672483372127248E-3</v>
      </c>
      <c r="I14" s="28">
        <v>2.0098045760193204E-3</v>
      </c>
    </row>
    <row r="15" spans="1:9" x14ac:dyDescent="0.3">
      <c r="A15" s="26" t="s">
        <v>18</v>
      </c>
      <c r="B15" s="28">
        <v>6.5500682366483455E-4</v>
      </c>
      <c r="C15" s="28">
        <v>6.2266519697245538E-4</v>
      </c>
      <c r="D15" s="28">
        <v>6.241322719002637E-4</v>
      </c>
      <c r="E15" s="28">
        <v>5.8366678188549541E-4</v>
      </c>
      <c r="F15" s="28">
        <v>6.3225566774887255E-4</v>
      </c>
      <c r="G15" s="28">
        <v>8.6322361513209574E-4</v>
      </c>
      <c r="H15" s="28">
        <v>7.0215623447144628E-4</v>
      </c>
      <c r="I15" s="28">
        <v>6.7276188475669317E-4</v>
      </c>
    </row>
    <row r="16" spans="1:9" x14ac:dyDescent="0.3">
      <c r="A16" s="26" t="s">
        <v>23</v>
      </c>
      <c r="B16" s="28">
        <v>5.245910038713719E-4</v>
      </c>
      <c r="C16" s="28">
        <v>4.7926871887210749E-4</v>
      </c>
      <c r="D16" s="28">
        <v>4.8774467157752918E-4</v>
      </c>
      <c r="E16" s="28">
        <v>4.8367466604044401E-4</v>
      </c>
      <c r="F16" s="28">
        <v>4.1940700131857676E-4</v>
      </c>
      <c r="G16" s="28">
        <v>5.3492744167261345E-4</v>
      </c>
      <c r="H16" s="28">
        <v>5.3297158691718079E-4</v>
      </c>
      <c r="I16" s="28">
        <v>4.9189238003626327E-4</v>
      </c>
    </row>
    <row r="17" spans="1:9" x14ac:dyDescent="0.3">
      <c r="A17" s="26" t="s">
        <v>19</v>
      </c>
      <c r="B17" s="28">
        <v>5.0496470745707068E-4</v>
      </c>
      <c r="C17" s="28">
        <v>3.3566159477553873E-4</v>
      </c>
      <c r="D17" s="28">
        <v>2.7863408637267549E-4</v>
      </c>
      <c r="E17" s="28">
        <v>3.1121501498531631E-4</v>
      </c>
      <c r="F17" s="28">
        <v>3.2978557127847177E-4</v>
      </c>
      <c r="G17" s="28">
        <v>4.0442783200670172E-4</v>
      </c>
      <c r="H17" s="28">
        <v>4.165859427800865E-4</v>
      </c>
      <c r="I17" s="28">
        <v>3.6614131414079118E-4</v>
      </c>
    </row>
    <row r="18" spans="1:9" x14ac:dyDescent="0.3">
      <c r="A18" s="26" t="s">
        <v>12</v>
      </c>
      <c r="B18" s="28">
        <v>3.3001089776273215E-4</v>
      </c>
      <c r="C18" s="28">
        <v>2.9993795491630755E-4</v>
      </c>
      <c r="D18" s="28">
        <v>3.1130237620691432E-4</v>
      </c>
      <c r="E18" s="28">
        <v>3.3009613949571461E-4</v>
      </c>
      <c r="F18" s="28">
        <v>3.8279361925745448E-4</v>
      </c>
      <c r="G18" s="28">
        <v>3.696521379913667E-4</v>
      </c>
      <c r="H18" s="28">
        <v>2.9319937141160976E-4</v>
      </c>
      <c r="I18" s="28">
        <v>3.3437569066476495E-4</v>
      </c>
    </row>
    <row r="19" spans="1:9" x14ac:dyDescent="0.3">
      <c r="A19" s="26" t="s">
        <v>24</v>
      </c>
      <c r="B19" s="28">
        <v>5.187174552868299E-5</v>
      </c>
      <c r="C19" s="28">
        <v>5.429906847015781E-5</v>
      </c>
      <c r="D19" s="28">
        <v>3.4768094750130888E-5</v>
      </c>
      <c r="E19" s="28">
        <v>3.6606616752872652E-5</v>
      </c>
      <c r="F19" s="28">
        <v>3.8449291679218807E-5</v>
      </c>
      <c r="G19" s="28">
        <v>5.3703431606443033E-5</v>
      </c>
      <c r="H19" s="28">
        <v>5.4456786404355055E-5</v>
      </c>
      <c r="I19" s="28">
        <v>4.6055496328990547E-5</v>
      </c>
    </row>
    <row r="20" spans="1:9" x14ac:dyDescent="0.3">
      <c r="A20" s="26" t="s">
        <v>9</v>
      </c>
      <c r="B20" s="28">
        <v>3.3937966929537791E-5</v>
      </c>
      <c r="C20" s="28">
        <v>0</v>
      </c>
      <c r="D20" s="28">
        <v>0</v>
      </c>
      <c r="E20" s="28">
        <v>3.4368376372206249E-5</v>
      </c>
      <c r="F20" s="28">
        <v>2.4755614714134913E-5</v>
      </c>
      <c r="G20" s="28">
        <v>4.0684903283104773E-5</v>
      </c>
      <c r="H20" s="28">
        <v>2.992439303041168E-5</v>
      </c>
      <c r="I20" s="28">
        <v>2.3738608170677669E-5</v>
      </c>
    </row>
    <row r="21" spans="1:9" x14ac:dyDescent="0.3">
      <c r="A21" s="26" t="s">
        <v>25</v>
      </c>
      <c r="B21" s="28">
        <v>1.3711954721443626E-5</v>
      </c>
      <c r="C21" s="28">
        <v>0</v>
      </c>
      <c r="D21" s="28">
        <v>0</v>
      </c>
      <c r="E21" s="28">
        <v>0</v>
      </c>
      <c r="F21" s="28">
        <v>0</v>
      </c>
      <c r="G21" s="28">
        <v>0</v>
      </c>
      <c r="H21" s="28">
        <v>1.9110778715369126E-5</v>
      </c>
      <c r="I21" s="28">
        <v>4.2716926776577106E-6</v>
      </c>
    </row>
    <row r="22" spans="1:9" x14ac:dyDescent="0.3">
      <c r="A22" s="26" t="s">
        <v>26</v>
      </c>
      <c r="B22" s="28">
        <v>1.2359456823793789E-5</v>
      </c>
      <c r="C22" s="28">
        <v>0</v>
      </c>
      <c r="D22" s="28">
        <v>0</v>
      </c>
      <c r="E22" s="28">
        <v>0</v>
      </c>
      <c r="F22" s="28">
        <v>0</v>
      </c>
      <c r="G22" s="28">
        <v>0</v>
      </c>
      <c r="H22" s="28">
        <v>1.4511261463921684E-5</v>
      </c>
      <c r="I22" s="28">
        <v>3.4792088474780701E-6</v>
      </c>
    </row>
    <row r="23" spans="1:9" x14ac:dyDescent="0.3">
      <c r="A23" s="26" t="s">
        <v>28</v>
      </c>
      <c r="B23" s="28">
        <v>1</v>
      </c>
      <c r="C23" s="28">
        <v>1</v>
      </c>
      <c r="D23" s="28">
        <v>1</v>
      </c>
      <c r="E23" s="28">
        <v>1</v>
      </c>
      <c r="F23" s="28">
        <v>1</v>
      </c>
      <c r="G23" s="28">
        <v>1</v>
      </c>
      <c r="H23" s="28">
        <v>1</v>
      </c>
      <c r="I23" s="28">
        <v>1</v>
      </c>
    </row>
  </sheetData>
  <conditionalFormatting pivot="1" sqref="I5:I22">
    <cfRule type="top10" dxfId="1" priority="1" rank="3"/>
  </conditionalFormatting>
  <pageMargins left="0.7" right="0.7" top="0.75" bottom="0.75" header="0.3" footer="0.3"/>
  <pageSetup paperSize="9" orientation="portrait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49C07-FE54-4C34-8025-F377D9A43C54}">
  <sheetPr>
    <tabColor theme="9" tint="-0.249977111117893"/>
  </sheetPr>
  <dimension ref="A1:B22"/>
  <sheetViews>
    <sheetView workbookViewId="0">
      <selection activeCell="M27" sqref="M27"/>
    </sheetView>
  </sheetViews>
  <sheetFormatPr defaultRowHeight="14.4" x14ac:dyDescent="0.3"/>
  <cols>
    <col min="1" max="1" width="21" bestFit="1" customWidth="1"/>
    <col min="2" max="2" width="32.77734375" bestFit="1" customWidth="1"/>
  </cols>
  <sheetData>
    <row r="1" spans="1:2" x14ac:dyDescent="0.3">
      <c r="A1" s="25" t="s">
        <v>8</v>
      </c>
      <c r="B1" t="s">
        <v>29</v>
      </c>
    </row>
    <row r="3" spans="1:2" x14ac:dyDescent="0.3">
      <c r="A3" s="25" t="s">
        <v>27</v>
      </c>
      <c r="B3" t="s">
        <v>41</v>
      </c>
    </row>
    <row r="4" spans="1:2" x14ac:dyDescent="0.3">
      <c r="A4" s="26" t="s">
        <v>16</v>
      </c>
      <c r="B4" s="31">
        <v>28043038.5</v>
      </c>
    </row>
    <row r="5" spans="1:2" x14ac:dyDescent="0.3">
      <c r="A5" s="26" t="s">
        <v>11</v>
      </c>
      <c r="B5" s="31">
        <v>33126207</v>
      </c>
    </row>
    <row r="6" spans="1:2" x14ac:dyDescent="0.3">
      <c r="A6" s="26" t="s">
        <v>17</v>
      </c>
      <c r="B6" s="31">
        <v>16684525.5</v>
      </c>
    </row>
    <row r="7" spans="1:2" x14ac:dyDescent="0.3">
      <c r="A7" s="26" t="s">
        <v>10</v>
      </c>
      <c r="B7" s="31">
        <v>13799701.5</v>
      </c>
    </row>
    <row r="8" spans="1:2" x14ac:dyDescent="0.3">
      <c r="A8" s="26" t="s">
        <v>20</v>
      </c>
      <c r="B8" s="31">
        <v>11696293.5</v>
      </c>
    </row>
    <row r="9" spans="1:2" x14ac:dyDescent="0.3">
      <c r="A9" s="26" t="s">
        <v>22</v>
      </c>
      <c r="B9" s="31">
        <v>98344302</v>
      </c>
    </row>
    <row r="10" spans="1:2" x14ac:dyDescent="0.3">
      <c r="A10" s="26" t="s">
        <v>21</v>
      </c>
      <c r="B10" s="31">
        <v>102681913.5</v>
      </c>
    </row>
    <row r="11" spans="1:2" x14ac:dyDescent="0.3">
      <c r="A11" s="26" t="s">
        <v>13</v>
      </c>
      <c r="B11" s="31">
        <v>14830335</v>
      </c>
    </row>
    <row r="12" spans="1:2" x14ac:dyDescent="0.3">
      <c r="A12" s="26" t="s">
        <v>23</v>
      </c>
      <c r="B12" s="31">
        <v>5637334.5</v>
      </c>
    </row>
    <row r="13" spans="1:2" x14ac:dyDescent="0.3">
      <c r="A13" s="26" t="s">
        <v>18</v>
      </c>
      <c r="B13" s="31">
        <v>6461851.5</v>
      </c>
    </row>
    <row r="14" spans="1:2" x14ac:dyDescent="0.3">
      <c r="A14" s="26" t="s">
        <v>19</v>
      </c>
      <c r="B14" s="31">
        <v>5603479.5</v>
      </c>
    </row>
    <row r="15" spans="1:2" x14ac:dyDescent="0.3">
      <c r="A15" s="26" t="s">
        <v>9</v>
      </c>
      <c r="B15" s="31">
        <v>636345</v>
      </c>
    </row>
    <row r="16" spans="1:2" x14ac:dyDescent="0.3">
      <c r="A16" s="26" t="s">
        <v>15</v>
      </c>
      <c r="B16" s="31">
        <v>183206691.18134999</v>
      </c>
    </row>
    <row r="17" spans="1:2" x14ac:dyDescent="0.3">
      <c r="A17" s="26" t="s">
        <v>14</v>
      </c>
      <c r="B17" s="31">
        <v>136457463.37154999</v>
      </c>
    </row>
    <row r="18" spans="1:2" x14ac:dyDescent="0.3">
      <c r="A18" s="26" t="s">
        <v>12</v>
      </c>
      <c r="B18" s="31">
        <v>4437835.5</v>
      </c>
    </row>
    <row r="19" spans="1:2" x14ac:dyDescent="0.3">
      <c r="A19" s="26" t="s">
        <v>25</v>
      </c>
      <c r="B19" s="31">
        <v>389013</v>
      </c>
    </row>
    <row r="20" spans="1:2" x14ac:dyDescent="0.3">
      <c r="A20" s="26" t="s">
        <v>24</v>
      </c>
      <c r="B20" s="31">
        <v>802447.5</v>
      </c>
    </row>
    <row r="21" spans="1:2" x14ac:dyDescent="0.3">
      <c r="A21" s="26" t="s">
        <v>26</v>
      </c>
      <c r="B21" s="31">
        <v>410892</v>
      </c>
    </row>
    <row r="22" spans="1:2" x14ac:dyDescent="0.3">
      <c r="A22" s="26" t="s">
        <v>28</v>
      </c>
      <c r="B22" s="31">
        <v>663249669.55289996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31691-1529-473B-B5F7-21C3DBCEAA35}">
  <sheetPr>
    <tabColor theme="9" tint="-0.249977111117893"/>
  </sheetPr>
  <dimension ref="A3:B22"/>
  <sheetViews>
    <sheetView workbookViewId="0">
      <selection activeCell="I25" sqref="I25"/>
    </sheetView>
  </sheetViews>
  <sheetFormatPr defaultRowHeight="14.4" x14ac:dyDescent="0.3"/>
  <cols>
    <col min="1" max="1" width="21" bestFit="1" customWidth="1"/>
    <col min="2" max="2" width="36.6640625" bestFit="1" customWidth="1"/>
  </cols>
  <sheetData>
    <row r="3" spans="1:2" x14ac:dyDescent="0.3">
      <c r="A3" s="25" t="s">
        <v>27</v>
      </c>
      <c r="B3" t="s">
        <v>36</v>
      </c>
    </row>
    <row r="4" spans="1:2" x14ac:dyDescent="0.3">
      <c r="A4" s="26" t="s">
        <v>26</v>
      </c>
      <c r="B4" s="27">
        <v>4215136990.5</v>
      </c>
    </row>
    <row r="5" spans="1:2" x14ac:dyDescent="0.3">
      <c r="A5" s="26" t="s">
        <v>25</v>
      </c>
      <c r="B5" s="27">
        <v>5175248341.5</v>
      </c>
    </row>
    <row r="6" spans="1:2" x14ac:dyDescent="0.3">
      <c r="A6" s="26" t="s">
        <v>9</v>
      </c>
      <c r="B6" s="27">
        <v>28759838742</v>
      </c>
    </row>
    <row r="7" spans="1:2" x14ac:dyDescent="0.3">
      <c r="A7" s="26" t="s">
        <v>24</v>
      </c>
      <c r="B7" s="27">
        <v>55797232848.75</v>
      </c>
    </row>
    <row r="8" spans="1:2" x14ac:dyDescent="0.3">
      <c r="A8" s="26" t="s">
        <v>12</v>
      </c>
      <c r="B8" s="27">
        <v>405103402593</v>
      </c>
    </row>
    <row r="9" spans="1:2" x14ac:dyDescent="0.3">
      <c r="A9" s="26" t="s">
        <v>19</v>
      </c>
      <c r="B9" s="27">
        <v>443588144501.25</v>
      </c>
    </row>
    <row r="10" spans="1:2" x14ac:dyDescent="0.3">
      <c r="A10" s="26" t="s">
        <v>23</v>
      </c>
      <c r="B10" s="27">
        <v>595938288654</v>
      </c>
    </row>
    <row r="11" spans="1:2" x14ac:dyDescent="0.3">
      <c r="A11" s="26" t="s">
        <v>18</v>
      </c>
      <c r="B11" s="27">
        <v>815065617084.75</v>
      </c>
    </row>
    <row r="12" spans="1:2" x14ac:dyDescent="0.3">
      <c r="A12" s="26" t="s">
        <v>20</v>
      </c>
      <c r="B12" s="27">
        <v>2434921840980</v>
      </c>
    </row>
    <row r="13" spans="1:2" x14ac:dyDescent="0.3">
      <c r="A13" s="26" t="s">
        <v>13</v>
      </c>
      <c r="B13" s="27">
        <v>2945566319307.75</v>
      </c>
    </row>
    <row r="14" spans="1:2" x14ac:dyDescent="0.3">
      <c r="A14" s="26" t="s">
        <v>10</v>
      </c>
      <c r="B14" s="27">
        <v>3332761542758.25</v>
      </c>
    </row>
    <row r="15" spans="1:2" x14ac:dyDescent="0.3">
      <c r="A15" s="26" t="s">
        <v>17</v>
      </c>
      <c r="B15" s="27">
        <v>4627759974491.25</v>
      </c>
    </row>
    <row r="16" spans="1:2" x14ac:dyDescent="0.3">
      <c r="A16" s="26" t="s">
        <v>16</v>
      </c>
      <c r="B16" s="27">
        <v>16375360721445</v>
      </c>
    </row>
    <row r="17" spans="1:2" x14ac:dyDescent="0.3">
      <c r="A17" s="26" t="s">
        <v>11</v>
      </c>
      <c r="B17" s="27">
        <v>19813719958236</v>
      </c>
    </row>
    <row r="18" spans="1:2" x14ac:dyDescent="0.3">
      <c r="A18" s="26" t="s">
        <v>22</v>
      </c>
      <c r="B18" s="27">
        <v>155790746809625.25</v>
      </c>
    </row>
    <row r="19" spans="1:2" x14ac:dyDescent="0.3">
      <c r="A19" s="26" t="s">
        <v>21</v>
      </c>
      <c r="B19" s="27">
        <v>170478886980017.25</v>
      </c>
    </row>
    <row r="20" spans="1:2" x14ac:dyDescent="0.3">
      <c r="A20" s="26" t="s">
        <v>14</v>
      </c>
      <c r="B20" s="27">
        <v>307186042774462.38</v>
      </c>
    </row>
    <row r="21" spans="1:2" x14ac:dyDescent="0.3">
      <c r="A21" s="26" t="s">
        <v>15</v>
      </c>
      <c r="B21" s="27">
        <v>526182282393684.31</v>
      </c>
    </row>
    <row r="22" spans="1:2" x14ac:dyDescent="0.3">
      <c r="A22" s="26" t="s">
        <v>28</v>
      </c>
      <c r="B22" s="27">
        <v>1211521692224763.3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G12" sqref="G12"/>
    </sheetView>
  </sheetViews>
  <sheetFormatPr defaultColWidth="14.44140625" defaultRowHeight="15" customHeight="1" x14ac:dyDescent="0.3"/>
  <cols>
    <col min="1" max="1" width="10.44140625" customWidth="1"/>
    <col min="2" max="2" width="22.88671875" customWidth="1"/>
    <col min="3" max="3" width="22.6640625" customWidth="1"/>
    <col min="4" max="4" width="22.109375" customWidth="1"/>
    <col min="5" max="5" width="25.44140625" customWidth="1"/>
    <col min="6" max="26" width="8.6640625" customWidth="1"/>
  </cols>
  <sheetData>
    <row r="1" spans="1:5" ht="14.25" customHeight="1" x14ac:dyDescent="0.3">
      <c r="A1" s="3" t="s">
        <v>0</v>
      </c>
      <c r="B1" s="3" t="s">
        <v>1</v>
      </c>
      <c r="C1" s="13" t="s">
        <v>4</v>
      </c>
      <c r="D1" s="13" t="s">
        <v>5</v>
      </c>
      <c r="E1" s="13" t="s">
        <v>6</v>
      </c>
    </row>
    <row r="2" spans="1:5" ht="14.25" customHeight="1" x14ac:dyDescent="0.3">
      <c r="A2" s="12">
        <v>43949</v>
      </c>
      <c r="B2" s="7" t="s">
        <v>16</v>
      </c>
      <c r="C2" s="7">
        <v>36</v>
      </c>
      <c r="D2" s="7">
        <v>4923</v>
      </c>
      <c r="E2" s="7">
        <v>4560</v>
      </c>
    </row>
    <row r="3" spans="1:5" ht="14.25" customHeight="1" x14ac:dyDescent="0.3">
      <c r="A3" s="12">
        <v>43949</v>
      </c>
      <c r="B3" s="7" t="s">
        <v>11</v>
      </c>
      <c r="C3" s="7">
        <v>31</v>
      </c>
      <c r="D3" s="7">
        <v>5465</v>
      </c>
      <c r="E3" s="7">
        <v>5096</v>
      </c>
    </row>
    <row r="4" spans="1:5" ht="14.25" customHeight="1" x14ac:dyDescent="0.3">
      <c r="A4" s="12">
        <v>43949</v>
      </c>
      <c r="B4" s="7" t="s">
        <v>17</v>
      </c>
      <c r="C4" s="7">
        <v>19</v>
      </c>
      <c r="D4" s="7">
        <v>1846</v>
      </c>
      <c r="E4" s="7">
        <v>1681</v>
      </c>
    </row>
    <row r="5" spans="1:5" ht="14.25" customHeight="1" x14ac:dyDescent="0.3">
      <c r="A5" s="12">
        <v>43949</v>
      </c>
      <c r="B5" s="7" t="s">
        <v>10</v>
      </c>
      <c r="C5" s="7">
        <v>18</v>
      </c>
      <c r="D5" s="7">
        <v>1539</v>
      </c>
      <c r="E5" s="7">
        <v>1404</v>
      </c>
    </row>
    <row r="6" spans="1:5" ht="14.25" customHeight="1" x14ac:dyDescent="0.3">
      <c r="A6" s="12">
        <v>43949</v>
      </c>
      <c r="B6" s="7" t="s">
        <v>20</v>
      </c>
      <c r="C6" s="7">
        <v>18</v>
      </c>
      <c r="D6" s="7">
        <v>1505</v>
      </c>
      <c r="E6" s="7">
        <v>1368</v>
      </c>
    </row>
    <row r="7" spans="1:5" ht="14.25" customHeight="1" x14ac:dyDescent="0.3">
      <c r="A7" s="12">
        <v>43949</v>
      </c>
      <c r="B7" s="7" t="s">
        <v>22</v>
      </c>
      <c r="C7" s="7">
        <v>54</v>
      </c>
      <c r="D7" s="7">
        <v>12306</v>
      </c>
      <c r="E7" s="7">
        <v>11532</v>
      </c>
    </row>
    <row r="8" spans="1:5" ht="14.25" customHeight="1" x14ac:dyDescent="0.3">
      <c r="A8" s="12">
        <v>43949</v>
      </c>
      <c r="B8" s="7" t="s">
        <v>21</v>
      </c>
      <c r="C8" s="7">
        <v>59</v>
      </c>
      <c r="D8" s="7">
        <v>12943</v>
      </c>
      <c r="E8" s="7">
        <v>12072</v>
      </c>
    </row>
    <row r="9" spans="1:5" ht="14.25" customHeight="1" x14ac:dyDescent="0.3">
      <c r="A9" s="12">
        <v>43949</v>
      </c>
      <c r="B9" s="7" t="s">
        <v>13</v>
      </c>
      <c r="C9" s="7">
        <v>17</v>
      </c>
      <c r="D9" s="7">
        <v>1439</v>
      </c>
      <c r="E9" s="7">
        <v>1265</v>
      </c>
    </row>
    <row r="10" spans="1:5" ht="14.25" customHeight="1" x14ac:dyDescent="0.3">
      <c r="A10" s="12">
        <v>43949</v>
      </c>
      <c r="B10" s="7" t="s">
        <v>23</v>
      </c>
      <c r="C10" s="7">
        <v>15</v>
      </c>
      <c r="D10" s="7">
        <v>636</v>
      </c>
      <c r="E10" s="7">
        <v>547</v>
      </c>
    </row>
    <row r="11" spans="1:5" ht="14.25" customHeight="1" x14ac:dyDescent="0.3">
      <c r="A11" s="12">
        <v>43949</v>
      </c>
      <c r="B11" s="7" t="s">
        <v>18</v>
      </c>
      <c r="C11" s="7">
        <v>15</v>
      </c>
      <c r="D11" s="7">
        <v>780</v>
      </c>
      <c r="E11" s="7">
        <v>690</v>
      </c>
    </row>
    <row r="12" spans="1:5" ht="14.25" customHeight="1" x14ac:dyDescent="0.3">
      <c r="A12" s="12">
        <v>43949</v>
      </c>
      <c r="B12" s="7" t="s">
        <v>15</v>
      </c>
      <c r="C12" s="7">
        <v>125</v>
      </c>
      <c r="D12" s="7">
        <v>20914</v>
      </c>
      <c r="E12" s="7">
        <v>19479</v>
      </c>
    </row>
    <row r="13" spans="1:5" ht="14.25" customHeight="1" x14ac:dyDescent="0.3">
      <c r="A13" s="12">
        <v>43949</v>
      </c>
      <c r="B13" s="7" t="s">
        <v>14</v>
      </c>
      <c r="C13" s="7">
        <v>128</v>
      </c>
      <c r="D13" s="7">
        <v>16450</v>
      </c>
      <c r="E13" s="7">
        <v>15320</v>
      </c>
    </row>
    <row r="14" spans="1:5" ht="14.25" customHeight="1" x14ac:dyDescent="0.3">
      <c r="A14" s="12">
        <v>43949</v>
      </c>
      <c r="B14" s="7" t="s">
        <v>12</v>
      </c>
      <c r="C14" s="7">
        <v>10</v>
      </c>
      <c r="D14" s="7">
        <v>580</v>
      </c>
      <c r="E14" s="7">
        <v>506</v>
      </c>
    </row>
    <row r="15" spans="1:5" ht="14.25" customHeight="1" x14ac:dyDescent="0.3">
      <c r="A15" s="12">
        <v>43950</v>
      </c>
      <c r="B15" s="7" t="s">
        <v>16</v>
      </c>
      <c r="C15" s="7">
        <v>36</v>
      </c>
      <c r="D15" s="7">
        <v>4937</v>
      </c>
      <c r="E15" s="7">
        <v>4561</v>
      </c>
    </row>
    <row r="16" spans="1:5" ht="14.25" customHeight="1" x14ac:dyDescent="0.3">
      <c r="A16" s="12">
        <v>43950</v>
      </c>
      <c r="B16" s="7" t="s">
        <v>11</v>
      </c>
      <c r="C16" s="7">
        <v>31</v>
      </c>
      <c r="D16" s="7">
        <v>5378</v>
      </c>
      <c r="E16" s="7">
        <v>4985</v>
      </c>
    </row>
    <row r="17" spans="1:5" ht="14.25" customHeight="1" x14ac:dyDescent="0.3">
      <c r="A17" s="12">
        <v>43950</v>
      </c>
      <c r="B17" s="7" t="s">
        <v>17</v>
      </c>
      <c r="C17" s="7">
        <v>19</v>
      </c>
      <c r="D17" s="7">
        <v>1676</v>
      </c>
      <c r="E17" s="7">
        <v>1516</v>
      </c>
    </row>
    <row r="18" spans="1:5" ht="14.25" customHeight="1" x14ac:dyDescent="0.3">
      <c r="A18" s="12">
        <v>43950</v>
      </c>
      <c r="B18" s="7" t="s">
        <v>10</v>
      </c>
      <c r="C18" s="7">
        <v>18</v>
      </c>
      <c r="D18" s="7">
        <v>1684</v>
      </c>
      <c r="E18" s="7">
        <v>1528</v>
      </c>
    </row>
    <row r="19" spans="1:5" ht="14.25" customHeight="1" x14ac:dyDescent="0.3">
      <c r="A19" s="12">
        <v>43950</v>
      </c>
      <c r="B19" s="7" t="s">
        <v>20</v>
      </c>
      <c r="C19" s="7">
        <v>18</v>
      </c>
      <c r="D19" s="7">
        <v>1599</v>
      </c>
      <c r="E19" s="7">
        <v>1450</v>
      </c>
    </row>
    <row r="20" spans="1:5" ht="14.25" customHeight="1" x14ac:dyDescent="0.3">
      <c r="A20" s="12">
        <v>43950</v>
      </c>
      <c r="B20" s="7" t="s">
        <v>22</v>
      </c>
      <c r="C20" s="7">
        <v>54</v>
      </c>
      <c r="D20" s="7">
        <v>12747</v>
      </c>
      <c r="E20" s="7">
        <v>11884</v>
      </c>
    </row>
    <row r="21" spans="1:5" ht="14.25" customHeight="1" x14ac:dyDescent="0.3">
      <c r="A21" s="12">
        <v>43950</v>
      </c>
      <c r="B21" s="7" t="s">
        <v>21</v>
      </c>
      <c r="C21" s="7">
        <v>59</v>
      </c>
      <c r="D21" s="7">
        <v>13186</v>
      </c>
      <c r="E21" s="7">
        <v>12251</v>
      </c>
    </row>
    <row r="22" spans="1:5" ht="14.25" customHeight="1" x14ac:dyDescent="0.3">
      <c r="A22" s="12">
        <v>43950</v>
      </c>
      <c r="B22" s="7" t="s">
        <v>13</v>
      </c>
      <c r="C22" s="7">
        <v>18</v>
      </c>
      <c r="D22" s="7">
        <v>1534</v>
      </c>
      <c r="E22" s="7">
        <v>1369</v>
      </c>
    </row>
    <row r="23" spans="1:5" ht="14.25" customHeight="1" x14ac:dyDescent="0.3">
      <c r="A23" s="12">
        <v>43950</v>
      </c>
      <c r="B23" s="7" t="s">
        <v>23</v>
      </c>
      <c r="C23" s="7">
        <v>15</v>
      </c>
      <c r="D23" s="7">
        <v>659</v>
      </c>
      <c r="E23" s="7">
        <v>575</v>
      </c>
    </row>
    <row r="24" spans="1:5" ht="14.25" customHeight="1" x14ac:dyDescent="0.3">
      <c r="A24" s="12">
        <v>43950</v>
      </c>
      <c r="B24" s="7" t="s">
        <v>18</v>
      </c>
      <c r="C24" s="7">
        <v>15</v>
      </c>
      <c r="D24" s="7">
        <v>786</v>
      </c>
      <c r="E24" s="7">
        <v>695</v>
      </c>
    </row>
    <row r="25" spans="1:5" ht="14.25" customHeight="1" x14ac:dyDescent="0.3">
      <c r="A25" s="12">
        <v>43950</v>
      </c>
      <c r="B25" s="7" t="s">
        <v>15</v>
      </c>
      <c r="C25" s="7">
        <v>125</v>
      </c>
      <c r="D25" s="7">
        <v>21863</v>
      </c>
      <c r="E25" s="7">
        <v>20160</v>
      </c>
    </row>
    <row r="26" spans="1:5" ht="14.25" customHeight="1" x14ac:dyDescent="0.3">
      <c r="A26" s="12">
        <v>43950</v>
      </c>
      <c r="B26" s="7" t="s">
        <v>14</v>
      </c>
      <c r="C26" s="7">
        <v>128</v>
      </c>
      <c r="D26" s="7">
        <v>17368</v>
      </c>
      <c r="E26" s="7">
        <v>16077</v>
      </c>
    </row>
    <row r="27" spans="1:5" ht="14.25" customHeight="1" x14ac:dyDescent="0.3">
      <c r="A27" s="12">
        <v>43950</v>
      </c>
      <c r="B27" s="7" t="s">
        <v>12</v>
      </c>
      <c r="C27" s="7">
        <v>10</v>
      </c>
      <c r="D27" s="7">
        <v>502</v>
      </c>
      <c r="E27" s="7">
        <v>433</v>
      </c>
    </row>
    <row r="28" spans="1:5" ht="14.25" customHeight="1" x14ac:dyDescent="0.3">
      <c r="A28" s="12">
        <v>43951</v>
      </c>
      <c r="B28" s="7" t="s">
        <v>16</v>
      </c>
      <c r="C28" s="7">
        <v>36</v>
      </c>
      <c r="D28" s="7">
        <v>5143</v>
      </c>
      <c r="E28" s="7">
        <v>4715</v>
      </c>
    </row>
    <row r="29" spans="1:5" ht="14.25" customHeight="1" x14ac:dyDescent="0.3">
      <c r="A29" s="12">
        <v>43951</v>
      </c>
      <c r="B29" s="7" t="s">
        <v>11</v>
      </c>
      <c r="C29" s="7">
        <v>31</v>
      </c>
      <c r="D29" s="7">
        <v>5120</v>
      </c>
      <c r="E29" s="7">
        <v>4737</v>
      </c>
    </row>
    <row r="30" spans="1:5" ht="14.25" customHeight="1" x14ac:dyDescent="0.3">
      <c r="A30" s="12">
        <v>43951</v>
      </c>
      <c r="B30" s="7" t="s">
        <v>17</v>
      </c>
      <c r="C30" s="7">
        <v>20</v>
      </c>
      <c r="D30" s="7">
        <v>1756</v>
      </c>
      <c r="E30" s="7">
        <v>1586</v>
      </c>
    </row>
    <row r="31" spans="1:5" ht="14.25" customHeight="1" x14ac:dyDescent="0.3">
      <c r="A31" s="12">
        <v>43951</v>
      </c>
      <c r="B31" s="7" t="s">
        <v>10</v>
      </c>
      <c r="C31" s="7">
        <v>19</v>
      </c>
      <c r="D31" s="7">
        <v>1712</v>
      </c>
      <c r="E31" s="7">
        <v>1552</v>
      </c>
    </row>
    <row r="32" spans="1:5" ht="14.25" customHeight="1" x14ac:dyDescent="0.3">
      <c r="A32" s="12">
        <v>43951</v>
      </c>
      <c r="B32" s="7" t="s">
        <v>20</v>
      </c>
      <c r="C32" s="7">
        <v>19</v>
      </c>
      <c r="D32" s="7">
        <v>1662</v>
      </c>
      <c r="E32" s="7">
        <v>1506</v>
      </c>
    </row>
    <row r="33" spans="1:5" ht="14.25" customHeight="1" x14ac:dyDescent="0.3">
      <c r="A33" s="12">
        <v>43951</v>
      </c>
      <c r="B33" s="7" t="s">
        <v>22</v>
      </c>
      <c r="C33" s="7">
        <v>54</v>
      </c>
      <c r="D33" s="7">
        <v>12817</v>
      </c>
      <c r="E33" s="7">
        <v>11865</v>
      </c>
    </row>
    <row r="34" spans="1:5" ht="14.25" customHeight="1" x14ac:dyDescent="0.3">
      <c r="A34" s="12">
        <v>43951</v>
      </c>
      <c r="B34" s="7" t="s">
        <v>21</v>
      </c>
      <c r="C34" s="7">
        <v>59</v>
      </c>
      <c r="D34" s="7">
        <v>13251</v>
      </c>
      <c r="E34" s="7">
        <v>12255</v>
      </c>
    </row>
    <row r="35" spans="1:5" ht="14.25" customHeight="1" x14ac:dyDescent="0.3">
      <c r="A35" s="12">
        <v>43951</v>
      </c>
      <c r="B35" s="7" t="s">
        <v>13</v>
      </c>
      <c r="C35" s="7">
        <v>19</v>
      </c>
      <c r="D35" s="7">
        <v>1499</v>
      </c>
      <c r="E35" s="7">
        <v>1322</v>
      </c>
    </row>
    <row r="36" spans="1:5" ht="14.25" customHeight="1" x14ac:dyDescent="0.3">
      <c r="A36" s="12">
        <v>43951</v>
      </c>
      <c r="B36" s="7" t="s">
        <v>23</v>
      </c>
      <c r="C36" s="7">
        <v>15</v>
      </c>
      <c r="D36" s="7">
        <v>644</v>
      </c>
      <c r="E36" s="7">
        <v>550</v>
      </c>
    </row>
    <row r="37" spans="1:5" ht="14.25" customHeight="1" x14ac:dyDescent="0.3">
      <c r="A37" s="12">
        <v>43951</v>
      </c>
      <c r="B37" s="7" t="s">
        <v>18</v>
      </c>
      <c r="C37" s="7">
        <v>15</v>
      </c>
      <c r="D37" s="7">
        <v>791</v>
      </c>
      <c r="E37" s="7">
        <v>691</v>
      </c>
    </row>
    <row r="38" spans="1:5" ht="14.25" customHeight="1" x14ac:dyDescent="0.3">
      <c r="A38" s="12">
        <v>43951</v>
      </c>
      <c r="B38" s="7" t="s">
        <v>19</v>
      </c>
      <c r="C38" s="7">
        <v>15</v>
      </c>
      <c r="D38" s="7">
        <v>262</v>
      </c>
      <c r="E38" s="7">
        <v>195</v>
      </c>
    </row>
    <row r="39" spans="1:5" ht="14.25" customHeight="1" x14ac:dyDescent="0.3">
      <c r="A39" s="12">
        <v>43951</v>
      </c>
      <c r="B39" s="7" t="s">
        <v>15</v>
      </c>
      <c r="C39" s="7">
        <v>125</v>
      </c>
      <c r="D39" s="7">
        <v>22368</v>
      </c>
      <c r="E39" s="7">
        <v>20625</v>
      </c>
    </row>
    <row r="40" spans="1:5" ht="14.25" customHeight="1" x14ac:dyDescent="0.3">
      <c r="A40" s="12">
        <v>43951</v>
      </c>
      <c r="B40" s="7" t="s">
        <v>14</v>
      </c>
      <c r="C40" s="7">
        <v>129</v>
      </c>
      <c r="D40" s="7">
        <v>18042</v>
      </c>
      <c r="E40" s="7">
        <v>16631</v>
      </c>
    </row>
    <row r="41" spans="1:5" ht="14.25" customHeight="1" x14ac:dyDescent="0.3">
      <c r="A41" s="12">
        <v>43951</v>
      </c>
      <c r="B41" s="7" t="s">
        <v>12</v>
      </c>
      <c r="C41" s="7">
        <v>10</v>
      </c>
      <c r="D41" s="7">
        <v>448</v>
      </c>
      <c r="E41" s="7">
        <v>376</v>
      </c>
    </row>
    <row r="42" spans="1:5" ht="14.25" customHeight="1" x14ac:dyDescent="0.3">
      <c r="A42" s="12">
        <v>43952</v>
      </c>
      <c r="B42" s="7" t="s">
        <v>16</v>
      </c>
      <c r="C42" s="7">
        <v>36</v>
      </c>
      <c r="D42" s="7">
        <v>5457</v>
      </c>
      <c r="E42" s="7">
        <v>4916</v>
      </c>
    </row>
    <row r="43" spans="1:5" ht="14.25" customHeight="1" x14ac:dyDescent="0.3">
      <c r="A43" s="12">
        <v>43952</v>
      </c>
      <c r="B43" s="7" t="s">
        <v>11</v>
      </c>
      <c r="C43" s="7">
        <v>31</v>
      </c>
      <c r="D43" s="7">
        <v>6118</v>
      </c>
      <c r="E43" s="7">
        <v>5564</v>
      </c>
    </row>
    <row r="44" spans="1:5" ht="14.25" customHeight="1" x14ac:dyDescent="0.3">
      <c r="A44" s="12">
        <v>43952</v>
      </c>
      <c r="B44" s="7" t="s">
        <v>17</v>
      </c>
      <c r="C44" s="7">
        <v>20</v>
      </c>
      <c r="D44" s="7">
        <v>2468</v>
      </c>
      <c r="E44" s="7">
        <v>2221</v>
      </c>
    </row>
    <row r="45" spans="1:5" ht="14.25" customHeight="1" x14ac:dyDescent="0.3">
      <c r="A45" s="12">
        <v>43952</v>
      </c>
      <c r="B45" s="7" t="s">
        <v>10</v>
      </c>
      <c r="C45" s="7">
        <v>18</v>
      </c>
      <c r="D45" s="7">
        <v>1826</v>
      </c>
      <c r="E45" s="7">
        <v>1633</v>
      </c>
    </row>
    <row r="46" spans="1:5" ht="14.25" customHeight="1" x14ac:dyDescent="0.3">
      <c r="A46" s="12">
        <v>43952</v>
      </c>
      <c r="B46" s="7" t="s">
        <v>20</v>
      </c>
      <c r="C46" s="7">
        <v>19</v>
      </c>
      <c r="D46" s="7">
        <v>1987</v>
      </c>
      <c r="E46" s="7">
        <v>1791</v>
      </c>
    </row>
    <row r="47" spans="1:5" ht="14.25" customHeight="1" x14ac:dyDescent="0.3">
      <c r="A47" s="12">
        <v>43952</v>
      </c>
      <c r="B47" s="7" t="s">
        <v>22</v>
      </c>
      <c r="C47" s="7">
        <v>54</v>
      </c>
      <c r="D47" s="7">
        <v>14205</v>
      </c>
      <c r="E47" s="7">
        <v>13026</v>
      </c>
    </row>
    <row r="48" spans="1:5" ht="14.25" customHeight="1" x14ac:dyDescent="0.3">
      <c r="A48" s="12">
        <v>43952</v>
      </c>
      <c r="B48" s="7" t="s">
        <v>21</v>
      </c>
      <c r="C48" s="7">
        <v>59</v>
      </c>
      <c r="D48" s="7">
        <v>15222</v>
      </c>
      <c r="E48" s="7">
        <v>13873</v>
      </c>
    </row>
    <row r="49" spans="1:5" ht="14.25" customHeight="1" x14ac:dyDescent="0.3">
      <c r="A49" s="12">
        <v>43952</v>
      </c>
      <c r="B49" s="7" t="s">
        <v>13</v>
      </c>
      <c r="C49" s="7">
        <v>19</v>
      </c>
      <c r="D49" s="7">
        <v>1497</v>
      </c>
      <c r="E49" s="7">
        <v>1291</v>
      </c>
    </row>
    <row r="50" spans="1:5" ht="14.25" customHeight="1" x14ac:dyDescent="0.3">
      <c r="A50" s="12">
        <v>43952</v>
      </c>
      <c r="B50" s="7" t="s">
        <v>23</v>
      </c>
      <c r="C50" s="7">
        <v>15</v>
      </c>
      <c r="D50" s="7">
        <v>721</v>
      </c>
      <c r="E50" s="7">
        <v>625</v>
      </c>
    </row>
    <row r="51" spans="1:5" ht="14.25" customHeight="1" x14ac:dyDescent="0.3">
      <c r="A51" s="12">
        <v>43952</v>
      </c>
      <c r="B51" s="7" t="s">
        <v>18</v>
      </c>
      <c r="C51" s="7">
        <v>15</v>
      </c>
      <c r="D51" s="7">
        <v>996</v>
      </c>
      <c r="E51" s="7">
        <v>888</v>
      </c>
    </row>
    <row r="52" spans="1:5" ht="14.25" customHeight="1" x14ac:dyDescent="0.3">
      <c r="A52" s="12">
        <v>43952</v>
      </c>
      <c r="B52" s="7" t="s">
        <v>19</v>
      </c>
      <c r="C52" s="7">
        <v>15</v>
      </c>
      <c r="D52" s="7">
        <v>294</v>
      </c>
      <c r="E52" s="7">
        <v>225</v>
      </c>
    </row>
    <row r="53" spans="1:5" ht="14.25" customHeight="1" x14ac:dyDescent="0.3">
      <c r="A53" s="12">
        <v>43952</v>
      </c>
      <c r="B53" s="7" t="s">
        <v>15</v>
      </c>
      <c r="C53" s="7">
        <v>125</v>
      </c>
      <c r="D53" s="7">
        <v>20602</v>
      </c>
      <c r="E53" s="7">
        <v>18845</v>
      </c>
    </row>
    <row r="54" spans="1:5" ht="14.25" customHeight="1" x14ac:dyDescent="0.3">
      <c r="A54" s="12">
        <v>43952</v>
      </c>
      <c r="B54" s="7" t="s">
        <v>14</v>
      </c>
      <c r="C54" s="7">
        <v>129</v>
      </c>
      <c r="D54" s="7">
        <v>17002</v>
      </c>
      <c r="E54" s="7">
        <v>15570</v>
      </c>
    </row>
    <row r="55" spans="1:5" ht="14.25" customHeight="1" x14ac:dyDescent="0.3">
      <c r="A55" s="12">
        <v>43952</v>
      </c>
      <c r="B55" s="7" t="s">
        <v>12</v>
      </c>
      <c r="C55" s="7">
        <v>10</v>
      </c>
      <c r="D55" s="7">
        <v>554</v>
      </c>
      <c r="E55" s="7">
        <v>472</v>
      </c>
    </row>
    <row r="56" spans="1:5" ht="14.25" customHeight="1" x14ac:dyDescent="0.3">
      <c r="A56" s="12">
        <v>43953</v>
      </c>
      <c r="B56" s="7" t="s">
        <v>16</v>
      </c>
      <c r="C56" s="7">
        <v>36</v>
      </c>
      <c r="D56" s="7">
        <v>3442</v>
      </c>
      <c r="E56" s="7">
        <v>3147</v>
      </c>
    </row>
    <row r="57" spans="1:5" ht="14.25" customHeight="1" x14ac:dyDescent="0.3">
      <c r="A57" s="12">
        <v>43953</v>
      </c>
      <c r="B57" s="7" t="s">
        <v>11</v>
      </c>
      <c r="C57" s="7">
        <v>31</v>
      </c>
      <c r="D57" s="7">
        <v>4157</v>
      </c>
      <c r="E57" s="7">
        <v>3823</v>
      </c>
    </row>
    <row r="58" spans="1:5" ht="14.25" customHeight="1" x14ac:dyDescent="0.3">
      <c r="A58" s="12">
        <v>43953</v>
      </c>
      <c r="B58" s="7" t="s">
        <v>17</v>
      </c>
      <c r="C58" s="7">
        <v>20</v>
      </c>
      <c r="D58" s="7">
        <v>1613</v>
      </c>
      <c r="E58" s="7">
        <v>1457</v>
      </c>
    </row>
    <row r="59" spans="1:5" ht="14.25" customHeight="1" x14ac:dyDescent="0.3">
      <c r="A59" s="12">
        <v>43953</v>
      </c>
      <c r="B59" s="7" t="s">
        <v>10</v>
      </c>
      <c r="C59" s="7">
        <v>18</v>
      </c>
      <c r="D59" s="7">
        <v>1708</v>
      </c>
      <c r="E59" s="7">
        <v>1534</v>
      </c>
    </row>
    <row r="60" spans="1:5" ht="14.25" customHeight="1" x14ac:dyDescent="0.3">
      <c r="A60" s="12">
        <v>43953</v>
      </c>
      <c r="B60" s="7" t="s">
        <v>20</v>
      </c>
      <c r="C60" s="7">
        <v>19</v>
      </c>
      <c r="D60" s="7">
        <v>1206</v>
      </c>
      <c r="E60" s="7">
        <v>1080</v>
      </c>
    </row>
    <row r="61" spans="1:5" ht="14.25" customHeight="1" x14ac:dyDescent="0.3">
      <c r="A61" s="12">
        <v>43953</v>
      </c>
      <c r="B61" s="7" t="s">
        <v>22</v>
      </c>
      <c r="C61" s="7">
        <v>54</v>
      </c>
      <c r="D61" s="7">
        <v>11622</v>
      </c>
      <c r="E61" s="7">
        <v>10754</v>
      </c>
    </row>
    <row r="62" spans="1:5" ht="14.25" customHeight="1" x14ac:dyDescent="0.3">
      <c r="A62" s="12">
        <v>43953</v>
      </c>
      <c r="B62" s="7" t="s">
        <v>21</v>
      </c>
      <c r="C62" s="7">
        <v>59</v>
      </c>
      <c r="D62" s="7">
        <v>12429</v>
      </c>
      <c r="E62" s="7">
        <v>11477</v>
      </c>
    </row>
    <row r="63" spans="1:5" ht="14.25" customHeight="1" x14ac:dyDescent="0.3">
      <c r="A63" s="12">
        <v>43953</v>
      </c>
      <c r="B63" s="7" t="s">
        <v>13</v>
      </c>
      <c r="C63" s="7">
        <v>19</v>
      </c>
      <c r="D63" s="7">
        <v>1217</v>
      </c>
      <c r="E63" s="7">
        <v>1048</v>
      </c>
    </row>
    <row r="64" spans="1:5" ht="14.25" customHeight="1" x14ac:dyDescent="0.3">
      <c r="A64" s="12">
        <v>43953</v>
      </c>
      <c r="B64" s="7" t="s">
        <v>23</v>
      </c>
      <c r="C64" s="7">
        <v>15</v>
      </c>
      <c r="D64" s="7">
        <v>567</v>
      </c>
      <c r="E64" s="7">
        <v>493</v>
      </c>
    </row>
    <row r="65" spans="1:5" ht="14.25" customHeight="1" x14ac:dyDescent="0.3">
      <c r="A65" s="12">
        <v>43953</v>
      </c>
      <c r="B65" s="7" t="s">
        <v>18</v>
      </c>
      <c r="C65" s="7">
        <v>15</v>
      </c>
      <c r="D65" s="7">
        <v>751</v>
      </c>
      <c r="E65" s="7">
        <v>651</v>
      </c>
    </row>
    <row r="66" spans="1:5" ht="14.25" customHeight="1" x14ac:dyDescent="0.3">
      <c r="A66" s="12">
        <v>43953</v>
      </c>
      <c r="B66" s="7" t="s">
        <v>19</v>
      </c>
      <c r="C66" s="7">
        <v>15</v>
      </c>
      <c r="D66" s="7">
        <v>274</v>
      </c>
      <c r="E66" s="7">
        <v>203</v>
      </c>
    </row>
    <row r="67" spans="1:5" ht="14.25" customHeight="1" x14ac:dyDescent="0.3">
      <c r="A67" s="12">
        <v>43953</v>
      </c>
      <c r="B67" s="7" t="s">
        <v>15</v>
      </c>
      <c r="C67" s="7">
        <v>125</v>
      </c>
      <c r="D67" s="7">
        <v>16932</v>
      </c>
      <c r="E67" s="7">
        <v>15601</v>
      </c>
    </row>
    <row r="68" spans="1:5" ht="14.25" customHeight="1" x14ac:dyDescent="0.3">
      <c r="A68" s="12">
        <v>43953</v>
      </c>
      <c r="B68" s="7" t="s">
        <v>14</v>
      </c>
      <c r="C68" s="7">
        <v>129</v>
      </c>
      <c r="D68" s="7">
        <v>14009</v>
      </c>
      <c r="E68" s="7">
        <v>12920</v>
      </c>
    </row>
    <row r="69" spans="1:5" ht="14.25" customHeight="1" x14ac:dyDescent="0.3">
      <c r="A69" s="12">
        <v>43953</v>
      </c>
      <c r="B69" s="7" t="s">
        <v>12</v>
      </c>
      <c r="C69" s="7">
        <v>10</v>
      </c>
      <c r="D69" s="7">
        <v>416</v>
      </c>
      <c r="E69" s="7">
        <v>341</v>
      </c>
    </row>
    <row r="70" spans="1:5" ht="14.25" customHeight="1" x14ac:dyDescent="0.3">
      <c r="A70" s="12">
        <v>43954</v>
      </c>
      <c r="B70" s="7" t="s">
        <v>16</v>
      </c>
      <c r="C70" s="7">
        <v>36</v>
      </c>
      <c r="D70" s="7">
        <v>4751</v>
      </c>
      <c r="E70" s="7">
        <v>4370</v>
      </c>
    </row>
    <row r="71" spans="1:5" ht="14.25" customHeight="1" x14ac:dyDescent="0.3">
      <c r="A71" s="12">
        <v>43954</v>
      </c>
      <c r="B71" s="7" t="s">
        <v>11</v>
      </c>
      <c r="C71" s="7">
        <v>31</v>
      </c>
      <c r="D71" s="7">
        <v>5155</v>
      </c>
      <c r="E71" s="7">
        <v>4762</v>
      </c>
    </row>
    <row r="72" spans="1:5" ht="14.25" customHeight="1" x14ac:dyDescent="0.3">
      <c r="A72" s="12">
        <v>43954</v>
      </c>
      <c r="B72" s="7" t="s">
        <v>17</v>
      </c>
      <c r="C72" s="7">
        <v>20</v>
      </c>
      <c r="D72" s="7">
        <v>1716</v>
      </c>
      <c r="E72" s="7">
        <v>1561</v>
      </c>
    </row>
    <row r="73" spans="1:5" ht="14.25" customHeight="1" x14ac:dyDescent="0.3">
      <c r="A73" s="12">
        <v>43954</v>
      </c>
      <c r="B73" s="7" t="s">
        <v>10</v>
      </c>
      <c r="C73" s="7">
        <v>20</v>
      </c>
      <c r="D73" s="7">
        <v>1520</v>
      </c>
      <c r="E73" s="7">
        <v>1373</v>
      </c>
    </row>
    <row r="74" spans="1:5" ht="14.25" customHeight="1" x14ac:dyDescent="0.3">
      <c r="A74" s="12">
        <v>43954</v>
      </c>
      <c r="B74" s="7" t="s">
        <v>20</v>
      </c>
      <c r="C74" s="7">
        <v>19</v>
      </c>
      <c r="D74" s="7">
        <v>1314</v>
      </c>
      <c r="E74" s="7">
        <v>1192</v>
      </c>
    </row>
    <row r="75" spans="1:5" ht="14.25" customHeight="1" x14ac:dyDescent="0.3">
      <c r="A75" s="12">
        <v>43954</v>
      </c>
      <c r="B75" s="7" t="s">
        <v>22</v>
      </c>
      <c r="C75" s="7">
        <v>54</v>
      </c>
      <c r="D75" s="7">
        <v>14823</v>
      </c>
      <c r="E75" s="7">
        <v>13751</v>
      </c>
    </row>
    <row r="76" spans="1:5" ht="14.25" customHeight="1" x14ac:dyDescent="0.3">
      <c r="A76" s="12">
        <v>43954</v>
      </c>
      <c r="B76" s="7" t="s">
        <v>21</v>
      </c>
      <c r="C76" s="7">
        <v>59</v>
      </c>
      <c r="D76" s="7">
        <v>15277</v>
      </c>
      <c r="E76" s="7">
        <v>14163</v>
      </c>
    </row>
    <row r="77" spans="1:5" ht="14.25" customHeight="1" x14ac:dyDescent="0.3">
      <c r="A77" s="12">
        <v>43954</v>
      </c>
      <c r="B77" s="7" t="s">
        <v>13</v>
      </c>
      <c r="C77" s="7">
        <v>19</v>
      </c>
      <c r="D77" s="7">
        <v>1402</v>
      </c>
      <c r="E77" s="7">
        <v>1234</v>
      </c>
    </row>
    <row r="78" spans="1:5" ht="14.25" customHeight="1" x14ac:dyDescent="0.3">
      <c r="A78" s="12">
        <v>43954</v>
      </c>
      <c r="B78" s="7" t="s">
        <v>23</v>
      </c>
      <c r="C78" s="7">
        <v>15</v>
      </c>
      <c r="D78" s="7">
        <v>585</v>
      </c>
      <c r="E78" s="7">
        <v>502</v>
      </c>
    </row>
    <row r="79" spans="1:5" ht="14.25" customHeight="1" x14ac:dyDescent="0.3">
      <c r="A79" s="12">
        <v>43954</v>
      </c>
      <c r="B79" s="7" t="s">
        <v>18</v>
      </c>
      <c r="C79" s="7">
        <v>15</v>
      </c>
      <c r="D79" s="7">
        <v>784</v>
      </c>
      <c r="E79" s="7">
        <v>696</v>
      </c>
    </row>
    <row r="80" spans="1:5" ht="14.25" customHeight="1" x14ac:dyDescent="0.3">
      <c r="A80" s="12">
        <v>43954</v>
      </c>
      <c r="B80" s="7" t="s">
        <v>19</v>
      </c>
      <c r="C80" s="7">
        <v>15</v>
      </c>
      <c r="D80" s="7">
        <v>455</v>
      </c>
      <c r="E80" s="7">
        <v>384</v>
      </c>
    </row>
    <row r="81" spans="1:5" ht="14.25" customHeight="1" x14ac:dyDescent="0.3">
      <c r="A81" s="12">
        <v>43954</v>
      </c>
      <c r="B81" s="7" t="s">
        <v>15</v>
      </c>
      <c r="C81" s="7">
        <v>125</v>
      </c>
      <c r="D81" s="7">
        <v>18861</v>
      </c>
      <c r="E81" s="7">
        <v>17420</v>
      </c>
    </row>
    <row r="82" spans="1:5" ht="14.25" customHeight="1" x14ac:dyDescent="0.3">
      <c r="A82" s="12">
        <v>43954</v>
      </c>
      <c r="B82" s="7" t="s">
        <v>14</v>
      </c>
      <c r="C82" s="7">
        <v>129</v>
      </c>
      <c r="D82" s="7">
        <v>15778</v>
      </c>
      <c r="E82" s="7">
        <v>14624</v>
      </c>
    </row>
    <row r="83" spans="1:5" ht="14.25" customHeight="1" x14ac:dyDescent="0.3">
      <c r="A83" s="12">
        <v>43954</v>
      </c>
      <c r="B83" s="7" t="s">
        <v>12</v>
      </c>
      <c r="C83" s="7">
        <v>10</v>
      </c>
      <c r="D83" s="7">
        <v>402</v>
      </c>
      <c r="E83" s="7">
        <v>333</v>
      </c>
    </row>
    <row r="84" spans="1:5" ht="14.25" customHeight="1" x14ac:dyDescent="0.3">
      <c r="A84" s="12">
        <v>43955</v>
      </c>
      <c r="B84" s="7" t="s">
        <v>16</v>
      </c>
      <c r="C84" s="7">
        <v>36</v>
      </c>
      <c r="D84" s="7">
        <v>4508</v>
      </c>
      <c r="E84" s="7">
        <v>4149</v>
      </c>
    </row>
    <row r="85" spans="1:5" ht="14.25" customHeight="1" x14ac:dyDescent="0.3">
      <c r="A85" s="12">
        <v>43955</v>
      </c>
      <c r="B85" s="7" t="s">
        <v>11</v>
      </c>
      <c r="C85" s="7">
        <v>31</v>
      </c>
      <c r="D85" s="7">
        <v>4968</v>
      </c>
      <c r="E85" s="7">
        <v>4596</v>
      </c>
    </row>
    <row r="86" spans="1:5" ht="14.25" customHeight="1" x14ac:dyDescent="0.3">
      <c r="A86" s="12">
        <v>43955</v>
      </c>
      <c r="B86" s="7" t="s">
        <v>17</v>
      </c>
      <c r="C86" s="7">
        <v>20</v>
      </c>
      <c r="D86" s="7">
        <v>1804</v>
      </c>
      <c r="E86" s="7">
        <v>1638</v>
      </c>
    </row>
    <row r="87" spans="1:5" ht="14.25" customHeight="1" x14ac:dyDescent="0.3">
      <c r="A87" s="12">
        <v>43955</v>
      </c>
      <c r="B87" s="7" t="s">
        <v>10</v>
      </c>
      <c r="C87" s="7">
        <v>20</v>
      </c>
      <c r="D87" s="7">
        <v>1519</v>
      </c>
      <c r="E87" s="7">
        <v>1372</v>
      </c>
    </row>
    <row r="88" spans="1:5" ht="14.25" customHeight="1" x14ac:dyDescent="0.3">
      <c r="A88" s="12">
        <v>43955</v>
      </c>
      <c r="B88" s="7" t="s">
        <v>20</v>
      </c>
      <c r="C88" s="7">
        <v>19</v>
      </c>
      <c r="D88" s="7">
        <v>1479</v>
      </c>
      <c r="E88" s="7">
        <v>1346</v>
      </c>
    </row>
    <row r="89" spans="1:5" ht="14.25" customHeight="1" x14ac:dyDescent="0.3">
      <c r="A89" s="12">
        <v>43955</v>
      </c>
      <c r="B89" s="7" t="s">
        <v>22</v>
      </c>
      <c r="C89" s="7">
        <v>54</v>
      </c>
      <c r="D89" s="7">
        <v>13606</v>
      </c>
      <c r="E89" s="7">
        <v>12697</v>
      </c>
    </row>
    <row r="90" spans="1:5" ht="14.25" customHeight="1" x14ac:dyDescent="0.3">
      <c r="A90" s="12">
        <v>43955</v>
      </c>
      <c r="B90" s="7" t="s">
        <v>21</v>
      </c>
      <c r="C90" s="7">
        <v>59</v>
      </c>
      <c r="D90" s="7">
        <v>14423</v>
      </c>
      <c r="E90" s="7">
        <v>13432</v>
      </c>
    </row>
    <row r="91" spans="1:5" ht="14.25" customHeight="1" x14ac:dyDescent="0.3">
      <c r="A91" s="12">
        <v>43955</v>
      </c>
      <c r="B91" s="7" t="s">
        <v>13</v>
      </c>
      <c r="C91" s="7">
        <v>19</v>
      </c>
      <c r="D91" s="7">
        <v>1582</v>
      </c>
      <c r="E91" s="7">
        <v>1403</v>
      </c>
    </row>
    <row r="92" spans="1:5" ht="14.25" customHeight="1" x14ac:dyDescent="0.3">
      <c r="A92" s="12">
        <v>43955</v>
      </c>
      <c r="B92" s="7" t="s">
        <v>23</v>
      </c>
      <c r="C92" s="7">
        <v>15</v>
      </c>
      <c r="D92" s="7">
        <v>622</v>
      </c>
      <c r="E92" s="7">
        <v>538</v>
      </c>
    </row>
    <row r="93" spans="1:5" ht="14.25" customHeight="1" x14ac:dyDescent="0.3">
      <c r="A93" s="12">
        <v>43955</v>
      </c>
      <c r="B93" s="7" t="s">
        <v>18</v>
      </c>
      <c r="C93" s="7">
        <v>15</v>
      </c>
      <c r="D93" s="7">
        <v>750</v>
      </c>
      <c r="E93" s="7">
        <v>647</v>
      </c>
    </row>
    <row r="94" spans="1:5" ht="14.25" customHeight="1" x14ac:dyDescent="0.3">
      <c r="A94" s="12">
        <v>43955</v>
      </c>
      <c r="B94" s="7" t="s">
        <v>19</v>
      </c>
      <c r="C94" s="7">
        <v>15</v>
      </c>
      <c r="D94" s="7">
        <v>390</v>
      </c>
      <c r="E94" s="7">
        <v>315</v>
      </c>
    </row>
    <row r="95" spans="1:5" ht="14.25" customHeight="1" x14ac:dyDescent="0.3">
      <c r="A95" s="12">
        <v>43955</v>
      </c>
      <c r="B95" s="7" t="s">
        <v>15</v>
      </c>
      <c r="C95" s="7">
        <v>125</v>
      </c>
      <c r="D95" s="7">
        <v>20495</v>
      </c>
      <c r="E95" s="7">
        <v>18964</v>
      </c>
    </row>
    <row r="96" spans="1:5" ht="14.25" customHeight="1" x14ac:dyDescent="0.3">
      <c r="A96" s="12">
        <v>43955</v>
      </c>
      <c r="B96" s="7" t="s">
        <v>14</v>
      </c>
      <c r="C96" s="7">
        <v>129</v>
      </c>
      <c r="D96" s="7">
        <v>16525</v>
      </c>
      <c r="E96" s="7">
        <v>15310</v>
      </c>
    </row>
    <row r="97" spans="1:5" ht="14.25" customHeight="1" x14ac:dyDescent="0.3">
      <c r="A97" s="12">
        <v>43955</v>
      </c>
      <c r="B97" s="7" t="s">
        <v>12</v>
      </c>
      <c r="C97" s="7">
        <v>10</v>
      </c>
      <c r="D97" s="7">
        <v>462</v>
      </c>
      <c r="E97" s="7">
        <v>396</v>
      </c>
    </row>
    <row r="98" spans="1:5" ht="14.25" customHeight="1" x14ac:dyDescent="0.3">
      <c r="A98" s="12">
        <v>43956</v>
      </c>
      <c r="B98" s="7" t="s">
        <v>16</v>
      </c>
      <c r="C98" s="7">
        <v>36</v>
      </c>
      <c r="D98" s="7">
        <v>4575</v>
      </c>
      <c r="E98" s="7">
        <v>4206</v>
      </c>
    </row>
    <row r="99" spans="1:5" ht="14.25" customHeight="1" x14ac:dyDescent="0.3">
      <c r="A99" s="12">
        <v>43956</v>
      </c>
      <c r="B99" s="7" t="s">
        <v>11</v>
      </c>
      <c r="C99" s="7">
        <v>31</v>
      </c>
      <c r="D99" s="7">
        <v>5188</v>
      </c>
      <c r="E99" s="7">
        <v>4800</v>
      </c>
    </row>
    <row r="100" spans="1:5" ht="14.25" customHeight="1" x14ac:dyDescent="0.3">
      <c r="A100" s="12">
        <v>43956</v>
      </c>
      <c r="B100" s="7" t="s">
        <v>17</v>
      </c>
      <c r="C100" s="7">
        <v>20</v>
      </c>
      <c r="D100" s="7">
        <v>1757</v>
      </c>
      <c r="E100" s="7">
        <v>1596</v>
      </c>
    </row>
    <row r="101" spans="1:5" ht="14.25" customHeight="1" x14ac:dyDescent="0.3">
      <c r="A101" s="12">
        <v>43956</v>
      </c>
      <c r="B101" s="7" t="s">
        <v>10</v>
      </c>
      <c r="C101" s="7">
        <v>20</v>
      </c>
      <c r="D101" s="7">
        <v>1773</v>
      </c>
      <c r="E101" s="7">
        <v>1604</v>
      </c>
    </row>
    <row r="102" spans="1:5" ht="14.25" customHeight="1" x14ac:dyDescent="0.3">
      <c r="A102" s="12">
        <v>43956</v>
      </c>
      <c r="B102" s="7" t="s">
        <v>20</v>
      </c>
      <c r="C102" s="7">
        <v>19</v>
      </c>
      <c r="D102" s="7">
        <v>1622</v>
      </c>
      <c r="E102" s="7">
        <v>1482</v>
      </c>
    </row>
    <row r="103" spans="1:5" ht="14.25" customHeight="1" x14ac:dyDescent="0.3">
      <c r="A103" s="12">
        <v>43956</v>
      </c>
      <c r="B103" s="7" t="s">
        <v>22</v>
      </c>
      <c r="C103" s="7">
        <v>54</v>
      </c>
      <c r="D103" s="7">
        <v>12775</v>
      </c>
      <c r="E103" s="7">
        <v>11887</v>
      </c>
    </row>
    <row r="104" spans="1:5" ht="14.25" customHeight="1" x14ac:dyDescent="0.3">
      <c r="A104" s="12">
        <v>43956</v>
      </c>
      <c r="B104" s="7" t="s">
        <v>21</v>
      </c>
      <c r="C104" s="7">
        <v>59</v>
      </c>
      <c r="D104" s="7">
        <v>13469</v>
      </c>
      <c r="E104" s="7">
        <v>12486</v>
      </c>
    </row>
    <row r="105" spans="1:5" ht="14.25" customHeight="1" x14ac:dyDescent="0.3">
      <c r="A105" s="12">
        <v>43956</v>
      </c>
      <c r="B105" s="7" t="s">
        <v>13</v>
      </c>
      <c r="C105" s="7">
        <v>19</v>
      </c>
      <c r="D105" s="7">
        <v>1417</v>
      </c>
      <c r="E105" s="7">
        <v>1245</v>
      </c>
    </row>
    <row r="106" spans="1:5" ht="14.25" customHeight="1" x14ac:dyDescent="0.3">
      <c r="A106" s="12">
        <v>43956</v>
      </c>
      <c r="B106" s="7" t="s">
        <v>23</v>
      </c>
      <c r="C106" s="7">
        <v>15</v>
      </c>
      <c r="D106" s="7">
        <v>750</v>
      </c>
      <c r="E106" s="7">
        <v>658</v>
      </c>
    </row>
    <row r="107" spans="1:5" ht="14.25" customHeight="1" x14ac:dyDescent="0.3">
      <c r="A107" s="12">
        <v>43956</v>
      </c>
      <c r="B107" s="7" t="s">
        <v>18</v>
      </c>
      <c r="C107" s="7">
        <v>15</v>
      </c>
      <c r="D107" s="7">
        <v>922</v>
      </c>
      <c r="E107" s="7">
        <v>823</v>
      </c>
    </row>
    <row r="108" spans="1:5" ht="14.25" customHeight="1" x14ac:dyDescent="0.3">
      <c r="A108" s="12">
        <v>43956</v>
      </c>
      <c r="B108" s="7" t="s">
        <v>19</v>
      </c>
      <c r="C108" s="7">
        <v>15</v>
      </c>
      <c r="D108" s="7">
        <v>455</v>
      </c>
      <c r="E108" s="7">
        <v>381</v>
      </c>
    </row>
    <row r="109" spans="1:5" ht="14.25" customHeight="1" x14ac:dyDescent="0.3">
      <c r="A109" s="12">
        <v>43956</v>
      </c>
      <c r="B109" s="7" t="s">
        <v>15</v>
      </c>
      <c r="C109" s="7">
        <v>125</v>
      </c>
      <c r="D109" s="7">
        <v>18944</v>
      </c>
      <c r="E109" s="7">
        <v>17541</v>
      </c>
    </row>
    <row r="110" spans="1:5" ht="14.25" customHeight="1" x14ac:dyDescent="0.3">
      <c r="A110" s="12">
        <v>43956</v>
      </c>
      <c r="B110" s="7" t="s">
        <v>14</v>
      </c>
      <c r="C110" s="7">
        <v>129</v>
      </c>
      <c r="D110" s="7">
        <v>15665</v>
      </c>
      <c r="E110" s="7">
        <v>14501</v>
      </c>
    </row>
    <row r="111" spans="1:5" ht="14.25" customHeight="1" x14ac:dyDescent="0.3">
      <c r="A111" s="12">
        <v>43956</v>
      </c>
      <c r="B111" s="7" t="s">
        <v>12</v>
      </c>
      <c r="C111" s="7">
        <v>10</v>
      </c>
      <c r="D111" s="7">
        <v>511</v>
      </c>
      <c r="E111" s="7">
        <v>437</v>
      </c>
    </row>
    <row r="112" spans="1:5" ht="14.25" customHeight="1" x14ac:dyDescent="0.3">
      <c r="A112" s="12">
        <v>43957</v>
      </c>
      <c r="B112" s="7" t="s">
        <v>16</v>
      </c>
      <c r="C112" s="7">
        <v>36</v>
      </c>
      <c r="D112" s="7">
        <v>4384</v>
      </c>
      <c r="E112" s="7">
        <v>4025</v>
      </c>
    </row>
    <row r="113" spans="1:5" ht="14.25" customHeight="1" x14ac:dyDescent="0.3">
      <c r="A113" s="12">
        <v>43957</v>
      </c>
      <c r="B113" s="7" t="s">
        <v>11</v>
      </c>
      <c r="C113" s="7">
        <v>31</v>
      </c>
      <c r="D113" s="7">
        <v>4709</v>
      </c>
      <c r="E113" s="7">
        <v>4348</v>
      </c>
    </row>
    <row r="114" spans="1:5" ht="14.25" customHeight="1" x14ac:dyDescent="0.3">
      <c r="A114" s="12">
        <v>43957</v>
      </c>
      <c r="B114" s="7" t="s">
        <v>17</v>
      </c>
      <c r="C114" s="7">
        <v>20</v>
      </c>
      <c r="D114" s="7">
        <v>1747</v>
      </c>
      <c r="E114" s="7">
        <v>1570</v>
      </c>
    </row>
    <row r="115" spans="1:5" ht="14.25" customHeight="1" x14ac:dyDescent="0.3">
      <c r="A115" s="12">
        <v>43957</v>
      </c>
      <c r="B115" s="7" t="s">
        <v>10</v>
      </c>
      <c r="C115" s="7">
        <v>20</v>
      </c>
      <c r="D115" s="7">
        <v>1784</v>
      </c>
      <c r="E115" s="7">
        <v>1632</v>
      </c>
    </row>
    <row r="116" spans="1:5" ht="14.25" customHeight="1" x14ac:dyDescent="0.3">
      <c r="A116" s="12">
        <v>43957</v>
      </c>
      <c r="B116" s="7" t="s">
        <v>20</v>
      </c>
      <c r="C116" s="7">
        <v>19</v>
      </c>
      <c r="D116" s="7">
        <v>1509</v>
      </c>
      <c r="E116" s="7">
        <v>1374</v>
      </c>
    </row>
    <row r="117" spans="1:5" ht="14.25" customHeight="1" x14ac:dyDescent="0.3">
      <c r="A117" s="12">
        <v>43957</v>
      </c>
      <c r="B117" s="7" t="s">
        <v>22</v>
      </c>
      <c r="C117" s="7">
        <v>54</v>
      </c>
      <c r="D117" s="7">
        <v>13406</v>
      </c>
      <c r="E117" s="7">
        <v>12518</v>
      </c>
    </row>
    <row r="118" spans="1:5" ht="14.25" customHeight="1" x14ac:dyDescent="0.3">
      <c r="A118" s="12">
        <v>43957</v>
      </c>
      <c r="B118" s="7" t="s">
        <v>21</v>
      </c>
      <c r="C118" s="7">
        <v>59</v>
      </c>
      <c r="D118" s="7">
        <v>14103</v>
      </c>
      <c r="E118" s="7">
        <v>13118</v>
      </c>
    </row>
    <row r="119" spans="1:5" ht="14.25" customHeight="1" x14ac:dyDescent="0.3">
      <c r="A119" s="12">
        <v>43957</v>
      </c>
      <c r="B119" s="7" t="s">
        <v>13</v>
      </c>
      <c r="C119" s="7">
        <v>19</v>
      </c>
      <c r="D119" s="7">
        <v>1499</v>
      </c>
      <c r="E119" s="7">
        <v>1323</v>
      </c>
    </row>
    <row r="120" spans="1:5" ht="14.25" customHeight="1" x14ac:dyDescent="0.3">
      <c r="A120" s="12">
        <v>43957</v>
      </c>
      <c r="B120" s="7" t="s">
        <v>23</v>
      </c>
      <c r="C120" s="7">
        <v>15</v>
      </c>
      <c r="D120" s="7">
        <v>701</v>
      </c>
      <c r="E120" s="7">
        <v>611</v>
      </c>
    </row>
    <row r="121" spans="1:5" ht="14.25" customHeight="1" x14ac:dyDescent="0.3">
      <c r="A121" s="12">
        <v>43957</v>
      </c>
      <c r="B121" s="7" t="s">
        <v>18</v>
      </c>
      <c r="C121" s="7">
        <v>15</v>
      </c>
      <c r="D121" s="7">
        <v>839</v>
      </c>
      <c r="E121" s="7">
        <v>733</v>
      </c>
    </row>
    <row r="122" spans="1:5" ht="14.25" customHeight="1" x14ac:dyDescent="0.3">
      <c r="A122" s="12">
        <v>43957</v>
      </c>
      <c r="B122" s="7" t="s">
        <v>19</v>
      </c>
      <c r="C122" s="7">
        <v>15</v>
      </c>
      <c r="D122" s="7">
        <v>467</v>
      </c>
      <c r="E122" s="7">
        <v>389</v>
      </c>
    </row>
    <row r="123" spans="1:5" ht="14.25" customHeight="1" x14ac:dyDescent="0.3">
      <c r="A123" s="12">
        <v>43957</v>
      </c>
      <c r="B123" s="7" t="s">
        <v>15</v>
      </c>
      <c r="C123" s="7">
        <v>125</v>
      </c>
      <c r="D123" s="7">
        <v>20218</v>
      </c>
      <c r="E123" s="7">
        <v>18647</v>
      </c>
    </row>
    <row r="124" spans="1:5" ht="14.25" customHeight="1" x14ac:dyDescent="0.3">
      <c r="A124" s="12">
        <v>43957</v>
      </c>
      <c r="B124" s="7" t="s">
        <v>14</v>
      </c>
      <c r="C124" s="7">
        <v>129</v>
      </c>
      <c r="D124" s="7">
        <v>16376</v>
      </c>
      <c r="E124" s="7">
        <v>15197</v>
      </c>
    </row>
    <row r="125" spans="1:5" ht="14.25" customHeight="1" x14ac:dyDescent="0.3">
      <c r="A125" s="12">
        <v>43957</v>
      </c>
      <c r="B125" s="7" t="s">
        <v>12</v>
      </c>
      <c r="C125" s="7">
        <v>10</v>
      </c>
      <c r="D125" s="7">
        <v>465</v>
      </c>
      <c r="E125" s="7">
        <v>390</v>
      </c>
    </row>
    <row r="126" spans="1:5" ht="14.25" customHeight="1" x14ac:dyDescent="0.3">
      <c r="A126" s="12">
        <v>43958</v>
      </c>
      <c r="B126" s="7" t="s">
        <v>16</v>
      </c>
      <c r="C126" s="7">
        <v>36</v>
      </c>
      <c r="D126" s="7">
        <v>4826</v>
      </c>
      <c r="E126" s="7">
        <v>4426</v>
      </c>
    </row>
    <row r="127" spans="1:5" ht="14.25" customHeight="1" x14ac:dyDescent="0.3">
      <c r="A127" s="12">
        <v>43958</v>
      </c>
      <c r="B127" s="7" t="s">
        <v>11</v>
      </c>
      <c r="C127" s="7">
        <v>31</v>
      </c>
      <c r="D127" s="7">
        <v>4903</v>
      </c>
      <c r="E127" s="7">
        <v>4527</v>
      </c>
    </row>
    <row r="128" spans="1:5" ht="14.25" customHeight="1" x14ac:dyDescent="0.3">
      <c r="A128" s="12">
        <v>43958</v>
      </c>
      <c r="B128" s="7" t="s">
        <v>17</v>
      </c>
      <c r="C128" s="7">
        <v>21</v>
      </c>
      <c r="D128" s="7">
        <v>1879</v>
      </c>
      <c r="E128" s="7">
        <v>1695</v>
      </c>
    </row>
    <row r="129" spans="1:5" ht="14.25" customHeight="1" x14ac:dyDescent="0.3">
      <c r="A129" s="12">
        <v>43958</v>
      </c>
      <c r="B129" s="7" t="s">
        <v>10</v>
      </c>
      <c r="C129" s="7">
        <v>21</v>
      </c>
      <c r="D129" s="7">
        <v>1542</v>
      </c>
      <c r="E129" s="7">
        <v>1405</v>
      </c>
    </row>
    <row r="130" spans="1:5" ht="14.25" customHeight="1" x14ac:dyDescent="0.3">
      <c r="A130" s="12">
        <v>43958</v>
      </c>
      <c r="B130" s="7" t="s">
        <v>20</v>
      </c>
      <c r="C130" s="7">
        <v>19</v>
      </c>
      <c r="D130" s="7">
        <v>1580</v>
      </c>
      <c r="E130" s="7">
        <v>1435</v>
      </c>
    </row>
    <row r="131" spans="1:5" ht="14.25" customHeight="1" x14ac:dyDescent="0.3">
      <c r="A131" s="12">
        <v>43958</v>
      </c>
      <c r="B131" s="7" t="s">
        <v>22</v>
      </c>
      <c r="C131" s="7">
        <v>54</v>
      </c>
      <c r="D131" s="7">
        <v>12743</v>
      </c>
      <c r="E131" s="7">
        <v>11858</v>
      </c>
    </row>
    <row r="132" spans="1:5" ht="14.25" customHeight="1" x14ac:dyDescent="0.3">
      <c r="A132" s="12">
        <v>43958</v>
      </c>
      <c r="B132" s="7" t="s">
        <v>21</v>
      </c>
      <c r="C132" s="7">
        <v>59</v>
      </c>
      <c r="D132" s="7">
        <v>13495</v>
      </c>
      <c r="E132" s="7">
        <v>12517</v>
      </c>
    </row>
    <row r="133" spans="1:5" ht="14.25" customHeight="1" x14ac:dyDescent="0.3">
      <c r="A133" s="12">
        <v>43958</v>
      </c>
      <c r="B133" s="7" t="s">
        <v>13</v>
      </c>
      <c r="C133" s="7">
        <v>19</v>
      </c>
      <c r="D133" s="7">
        <v>1530</v>
      </c>
      <c r="E133" s="7">
        <v>1338</v>
      </c>
    </row>
    <row r="134" spans="1:5" ht="14.25" customHeight="1" x14ac:dyDescent="0.3">
      <c r="A134" s="12">
        <v>43958</v>
      </c>
      <c r="B134" s="7" t="s">
        <v>23</v>
      </c>
      <c r="C134" s="7">
        <v>15</v>
      </c>
      <c r="D134" s="7">
        <v>676</v>
      </c>
      <c r="E134" s="7">
        <v>591</v>
      </c>
    </row>
    <row r="135" spans="1:5" ht="14.25" customHeight="1" x14ac:dyDescent="0.3">
      <c r="A135" s="12">
        <v>43958</v>
      </c>
      <c r="B135" s="7" t="s">
        <v>18</v>
      </c>
      <c r="C135" s="7">
        <v>15</v>
      </c>
      <c r="D135" s="7">
        <v>805</v>
      </c>
      <c r="E135" s="7">
        <v>703</v>
      </c>
    </row>
    <row r="136" spans="1:5" ht="14.25" customHeight="1" x14ac:dyDescent="0.3">
      <c r="A136" s="12">
        <v>43958</v>
      </c>
      <c r="B136" s="7" t="s">
        <v>19</v>
      </c>
      <c r="C136" s="7">
        <v>15</v>
      </c>
      <c r="D136" s="7">
        <v>480</v>
      </c>
      <c r="E136" s="7">
        <v>398</v>
      </c>
    </row>
    <row r="137" spans="1:5" ht="14.25" customHeight="1" x14ac:dyDescent="0.3">
      <c r="A137" s="12">
        <v>43958</v>
      </c>
      <c r="B137" s="7" t="s">
        <v>15</v>
      </c>
      <c r="C137" s="7">
        <v>125</v>
      </c>
      <c r="D137" s="7">
        <v>18014</v>
      </c>
      <c r="E137" s="7">
        <v>16675</v>
      </c>
    </row>
    <row r="138" spans="1:5" ht="14.25" customHeight="1" x14ac:dyDescent="0.3">
      <c r="A138" s="12">
        <v>43958</v>
      </c>
      <c r="B138" s="7" t="s">
        <v>14</v>
      </c>
      <c r="C138" s="7">
        <v>129</v>
      </c>
      <c r="D138" s="7">
        <v>14582</v>
      </c>
      <c r="E138" s="7">
        <v>13512</v>
      </c>
    </row>
    <row r="139" spans="1:5" ht="14.25" customHeight="1" x14ac:dyDescent="0.3">
      <c r="A139" s="12">
        <v>43958</v>
      </c>
      <c r="B139" s="7" t="s">
        <v>12</v>
      </c>
      <c r="C139" s="7">
        <v>10</v>
      </c>
      <c r="D139" s="7">
        <v>563</v>
      </c>
      <c r="E139" s="7">
        <v>486</v>
      </c>
    </row>
    <row r="140" spans="1:5" ht="14.25" customHeight="1" x14ac:dyDescent="0.3">
      <c r="A140" s="12">
        <v>43959</v>
      </c>
      <c r="B140" s="7" t="s">
        <v>16</v>
      </c>
      <c r="C140" s="7">
        <v>36</v>
      </c>
      <c r="D140" s="7">
        <v>4199</v>
      </c>
      <c r="E140" s="7">
        <v>3867</v>
      </c>
    </row>
    <row r="141" spans="1:5" ht="14.25" customHeight="1" x14ac:dyDescent="0.3">
      <c r="A141" s="12">
        <v>43959</v>
      </c>
      <c r="B141" s="7" t="s">
        <v>11</v>
      </c>
      <c r="C141" s="7">
        <v>31</v>
      </c>
      <c r="D141" s="7">
        <v>4635</v>
      </c>
      <c r="E141" s="7">
        <v>4266</v>
      </c>
    </row>
    <row r="142" spans="1:5" ht="14.25" customHeight="1" x14ac:dyDescent="0.3">
      <c r="A142" s="12">
        <v>43959</v>
      </c>
      <c r="B142" s="7" t="s">
        <v>17</v>
      </c>
      <c r="C142" s="7">
        <v>21</v>
      </c>
      <c r="D142" s="7">
        <v>1957</v>
      </c>
      <c r="E142" s="7">
        <v>1755</v>
      </c>
    </row>
    <row r="143" spans="1:5" ht="14.25" customHeight="1" x14ac:dyDescent="0.3">
      <c r="A143" s="12">
        <v>43959</v>
      </c>
      <c r="B143" s="7" t="s">
        <v>10</v>
      </c>
      <c r="C143" s="7">
        <v>21</v>
      </c>
      <c r="D143" s="7">
        <v>1646</v>
      </c>
      <c r="E143" s="7">
        <v>1492</v>
      </c>
    </row>
    <row r="144" spans="1:5" ht="14.25" customHeight="1" x14ac:dyDescent="0.3">
      <c r="A144" s="12">
        <v>43959</v>
      </c>
      <c r="B144" s="7" t="s">
        <v>20</v>
      </c>
      <c r="C144" s="7">
        <v>19</v>
      </c>
      <c r="D144" s="7">
        <v>1520</v>
      </c>
      <c r="E144" s="7">
        <v>1380</v>
      </c>
    </row>
    <row r="145" spans="1:5" ht="14.25" customHeight="1" x14ac:dyDescent="0.3">
      <c r="A145" s="12">
        <v>43959</v>
      </c>
      <c r="B145" s="7" t="s">
        <v>22</v>
      </c>
      <c r="C145" s="7">
        <v>54</v>
      </c>
      <c r="D145" s="7">
        <v>13563</v>
      </c>
      <c r="E145" s="7">
        <v>12604</v>
      </c>
    </row>
    <row r="146" spans="1:5" ht="14.25" customHeight="1" x14ac:dyDescent="0.3">
      <c r="A146" s="12">
        <v>43959</v>
      </c>
      <c r="B146" s="7" t="s">
        <v>21</v>
      </c>
      <c r="C146" s="7">
        <v>59</v>
      </c>
      <c r="D146" s="7">
        <v>14098</v>
      </c>
      <c r="E146" s="7">
        <v>13106</v>
      </c>
    </row>
    <row r="147" spans="1:5" ht="14.25" customHeight="1" x14ac:dyDescent="0.3">
      <c r="A147" s="12">
        <v>43959</v>
      </c>
      <c r="B147" s="7" t="s">
        <v>13</v>
      </c>
      <c r="C147" s="7">
        <v>19</v>
      </c>
      <c r="D147" s="7">
        <v>1522</v>
      </c>
      <c r="E147" s="7">
        <v>1340</v>
      </c>
    </row>
    <row r="148" spans="1:5" ht="14.25" customHeight="1" x14ac:dyDescent="0.3">
      <c r="A148" s="12">
        <v>43959</v>
      </c>
      <c r="B148" s="7" t="s">
        <v>23</v>
      </c>
      <c r="C148" s="7">
        <v>15</v>
      </c>
      <c r="D148" s="7">
        <v>703</v>
      </c>
      <c r="E148" s="7">
        <v>609</v>
      </c>
    </row>
    <row r="149" spans="1:5" ht="14.25" customHeight="1" x14ac:dyDescent="0.3">
      <c r="A149" s="12">
        <v>43959</v>
      </c>
      <c r="B149" s="7" t="s">
        <v>18</v>
      </c>
      <c r="C149" s="7">
        <v>15</v>
      </c>
      <c r="D149" s="7">
        <v>879</v>
      </c>
      <c r="E149" s="7">
        <v>768</v>
      </c>
    </row>
    <row r="150" spans="1:5" ht="14.25" customHeight="1" x14ac:dyDescent="0.3">
      <c r="A150" s="12">
        <v>43959</v>
      </c>
      <c r="B150" s="7" t="s">
        <v>19</v>
      </c>
      <c r="C150" s="7">
        <v>15</v>
      </c>
      <c r="D150" s="7">
        <v>492</v>
      </c>
      <c r="E150" s="7">
        <v>412</v>
      </c>
    </row>
    <row r="151" spans="1:5" ht="14.25" customHeight="1" x14ac:dyDescent="0.3">
      <c r="A151" s="12">
        <v>43959</v>
      </c>
      <c r="B151" s="7" t="s">
        <v>15</v>
      </c>
      <c r="C151" s="7">
        <v>125</v>
      </c>
      <c r="D151" s="7">
        <v>24620</v>
      </c>
      <c r="E151" s="7">
        <v>22641</v>
      </c>
    </row>
    <row r="152" spans="1:5" ht="14.25" customHeight="1" x14ac:dyDescent="0.3">
      <c r="A152" s="12">
        <v>43959</v>
      </c>
      <c r="B152" s="7" t="s">
        <v>14</v>
      </c>
      <c r="C152" s="7">
        <v>129</v>
      </c>
      <c r="D152" s="7">
        <v>20452</v>
      </c>
      <c r="E152" s="7">
        <v>18857</v>
      </c>
    </row>
    <row r="153" spans="1:5" ht="14.25" customHeight="1" x14ac:dyDescent="0.3">
      <c r="A153" s="12">
        <v>43959</v>
      </c>
      <c r="B153" s="7" t="s">
        <v>12</v>
      </c>
      <c r="C153" s="7">
        <v>10</v>
      </c>
      <c r="D153" s="7">
        <v>638</v>
      </c>
      <c r="E153" s="7">
        <v>547</v>
      </c>
    </row>
    <row r="154" spans="1:5" ht="14.25" customHeight="1" x14ac:dyDescent="0.3">
      <c r="A154" s="12">
        <v>43960</v>
      </c>
      <c r="B154" s="7" t="s">
        <v>16</v>
      </c>
      <c r="C154" s="7">
        <v>36</v>
      </c>
      <c r="D154" s="7">
        <v>5413</v>
      </c>
      <c r="E154" s="7">
        <v>4959</v>
      </c>
    </row>
    <row r="155" spans="1:5" ht="14.25" customHeight="1" x14ac:dyDescent="0.3">
      <c r="A155" s="12">
        <v>43960</v>
      </c>
      <c r="B155" s="7" t="s">
        <v>11</v>
      </c>
      <c r="C155" s="7">
        <v>31</v>
      </c>
      <c r="D155" s="7">
        <v>4556</v>
      </c>
      <c r="E155" s="7">
        <v>4220</v>
      </c>
    </row>
    <row r="156" spans="1:5" ht="14.25" customHeight="1" x14ac:dyDescent="0.3">
      <c r="A156" s="12">
        <v>43960</v>
      </c>
      <c r="B156" s="7" t="s">
        <v>17</v>
      </c>
      <c r="C156" s="7">
        <v>21</v>
      </c>
      <c r="D156" s="7">
        <v>1891</v>
      </c>
      <c r="E156" s="7">
        <v>1709</v>
      </c>
    </row>
    <row r="157" spans="1:5" ht="14.25" customHeight="1" x14ac:dyDescent="0.3">
      <c r="A157" s="12">
        <v>43960</v>
      </c>
      <c r="B157" s="7" t="s">
        <v>10</v>
      </c>
      <c r="C157" s="7">
        <v>21</v>
      </c>
      <c r="D157" s="7">
        <v>1735</v>
      </c>
      <c r="E157" s="7">
        <v>1568</v>
      </c>
    </row>
    <row r="158" spans="1:5" ht="14.25" customHeight="1" x14ac:dyDescent="0.3">
      <c r="A158" s="12">
        <v>43960</v>
      </c>
      <c r="B158" s="7" t="s">
        <v>20</v>
      </c>
      <c r="C158" s="7">
        <v>19</v>
      </c>
      <c r="D158" s="7">
        <v>1542</v>
      </c>
      <c r="E158" s="7">
        <v>1412</v>
      </c>
    </row>
    <row r="159" spans="1:5" ht="14.25" customHeight="1" x14ac:dyDescent="0.3">
      <c r="A159" s="12">
        <v>43960</v>
      </c>
      <c r="B159" s="7" t="s">
        <v>22</v>
      </c>
      <c r="C159" s="7">
        <v>54</v>
      </c>
      <c r="D159" s="7">
        <v>11288</v>
      </c>
      <c r="E159" s="7">
        <v>10492</v>
      </c>
    </row>
    <row r="160" spans="1:5" ht="14.25" customHeight="1" x14ac:dyDescent="0.3">
      <c r="A160" s="12">
        <v>43960</v>
      </c>
      <c r="B160" s="7" t="s">
        <v>21</v>
      </c>
      <c r="C160" s="7">
        <v>59</v>
      </c>
      <c r="D160" s="7">
        <v>12016</v>
      </c>
      <c r="E160" s="7">
        <v>11137</v>
      </c>
    </row>
    <row r="161" spans="1:5" ht="14.25" customHeight="1" x14ac:dyDescent="0.3">
      <c r="A161" s="12">
        <v>43960</v>
      </c>
      <c r="B161" s="7" t="s">
        <v>13</v>
      </c>
      <c r="C161" s="7">
        <v>19</v>
      </c>
      <c r="D161" s="7">
        <v>1851</v>
      </c>
      <c r="E161" s="7">
        <v>1635</v>
      </c>
    </row>
    <row r="162" spans="1:5" ht="14.25" customHeight="1" x14ac:dyDescent="0.3">
      <c r="A162" s="12">
        <v>43960</v>
      </c>
      <c r="B162" s="7" t="s">
        <v>23</v>
      </c>
      <c r="C162" s="7">
        <v>15</v>
      </c>
      <c r="D162" s="7">
        <v>654</v>
      </c>
      <c r="E162" s="7">
        <v>570</v>
      </c>
    </row>
    <row r="163" spans="1:5" ht="14.25" customHeight="1" x14ac:dyDescent="0.3">
      <c r="A163" s="12">
        <v>43960</v>
      </c>
      <c r="B163" s="7" t="s">
        <v>18</v>
      </c>
      <c r="C163" s="7">
        <v>15</v>
      </c>
      <c r="D163" s="7">
        <v>849</v>
      </c>
      <c r="E163" s="7">
        <v>740</v>
      </c>
    </row>
    <row r="164" spans="1:5" ht="14.25" customHeight="1" x14ac:dyDescent="0.3">
      <c r="A164" s="12">
        <v>43960</v>
      </c>
      <c r="B164" s="7" t="s">
        <v>19</v>
      </c>
      <c r="C164" s="7">
        <v>15</v>
      </c>
      <c r="D164" s="7">
        <v>623</v>
      </c>
      <c r="E164" s="7">
        <v>535</v>
      </c>
    </row>
    <row r="165" spans="1:5" ht="14.25" customHeight="1" x14ac:dyDescent="0.3">
      <c r="A165" s="12">
        <v>43960</v>
      </c>
      <c r="B165" s="7" t="s">
        <v>15</v>
      </c>
      <c r="C165" s="7">
        <v>125</v>
      </c>
      <c r="D165" s="7">
        <v>20132</v>
      </c>
      <c r="E165" s="7">
        <v>18617</v>
      </c>
    </row>
    <row r="166" spans="1:5" ht="14.25" customHeight="1" x14ac:dyDescent="0.3">
      <c r="A166" s="12">
        <v>43960</v>
      </c>
      <c r="B166" s="7" t="s">
        <v>14</v>
      </c>
      <c r="C166" s="7">
        <v>129</v>
      </c>
      <c r="D166" s="7">
        <v>16420</v>
      </c>
      <c r="E166" s="7">
        <v>15169</v>
      </c>
    </row>
    <row r="167" spans="1:5" ht="14.25" customHeight="1" x14ac:dyDescent="0.3">
      <c r="A167" s="12">
        <v>43960</v>
      </c>
      <c r="B167" s="7" t="s">
        <v>12</v>
      </c>
      <c r="C167" s="7">
        <v>10</v>
      </c>
      <c r="D167" s="7">
        <v>644</v>
      </c>
      <c r="E167" s="7">
        <v>559</v>
      </c>
    </row>
    <row r="168" spans="1:5" ht="14.25" customHeight="1" x14ac:dyDescent="0.3">
      <c r="A168" s="12">
        <v>43961</v>
      </c>
      <c r="B168" s="7" t="s">
        <v>16</v>
      </c>
      <c r="C168" s="7">
        <v>36</v>
      </c>
      <c r="D168" s="7">
        <v>5746</v>
      </c>
      <c r="E168" s="7">
        <v>5277</v>
      </c>
    </row>
    <row r="169" spans="1:5" ht="14.25" customHeight="1" x14ac:dyDescent="0.3">
      <c r="A169" s="12">
        <v>43961</v>
      </c>
      <c r="B169" s="7" t="s">
        <v>11</v>
      </c>
      <c r="C169" s="7">
        <v>31</v>
      </c>
      <c r="D169" s="7">
        <v>5495</v>
      </c>
      <c r="E169" s="7">
        <v>5093</v>
      </c>
    </row>
    <row r="170" spans="1:5" ht="14.25" customHeight="1" x14ac:dyDescent="0.3">
      <c r="A170" s="12">
        <v>43961</v>
      </c>
      <c r="B170" s="7" t="s">
        <v>17</v>
      </c>
      <c r="C170" s="7">
        <v>21</v>
      </c>
      <c r="D170" s="7">
        <v>2120</v>
      </c>
      <c r="E170" s="7">
        <v>1921</v>
      </c>
    </row>
    <row r="171" spans="1:5" ht="14.25" customHeight="1" x14ac:dyDescent="0.3">
      <c r="A171" s="12">
        <v>43961</v>
      </c>
      <c r="B171" s="7" t="s">
        <v>10</v>
      </c>
      <c r="C171" s="7">
        <v>21</v>
      </c>
      <c r="D171" s="7">
        <v>2016</v>
      </c>
      <c r="E171" s="7">
        <v>1846</v>
      </c>
    </row>
    <row r="172" spans="1:5" ht="14.25" customHeight="1" x14ac:dyDescent="0.3">
      <c r="A172" s="12">
        <v>43961</v>
      </c>
      <c r="B172" s="7" t="s">
        <v>20</v>
      </c>
      <c r="C172" s="7">
        <v>19</v>
      </c>
      <c r="D172" s="7">
        <v>1836</v>
      </c>
      <c r="E172" s="7">
        <v>1680</v>
      </c>
    </row>
    <row r="173" spans="1:5" ht="14.25" customHeight="1" x14ac:dyDescent="0.3">
      <c r="A173" s="12">
        <v>43961</v>
      </c>
      <c r="B173" s="7" t="s">
        <v>22</v>
      </c>
      <c r="C173" s="7">
        <v>54</v>
      </c>
      <c r="D173" s="7">
        <v>13832</v>
      </c>
      <c r="E173" s="7">
        <v>12864</v>
      </c>
    </row>
    <row r="174" spans="1:5" ht="14.25" customHeight="1" x14ac:dyDescent="0.3">
      <c r="A174" s="12">
        <v>43961</v>
      </c>
      <c r="B174" s="7" t="s">
        <v>21</v>
      </c>
      <c r="C174" s="7">
        <v>59</v>
      </c>
      <c r="D174" s="7">
        <v>14569</v>
      </c>
      <c r="E174" s="7">
        <v>13566</v>
      </c>
    </row>
    <row r="175" spans="1:5" ht="14.25" customHeight="1" x14ac:dyDescent="0.3">
      <c r="A175" s="12">
        <v>43961</v>
      </c>
      <c r="B175" s="7" t="s">
        <v>13</v>
      </c>
      <c r="C175" s="7">
        <v>19</v>
      </c>
      <c r="D175" s="7">
        <v>1848</v>
      </c>
      <c r="E175" s="7">
        <v>1649</v>
      </c>
    </row>
    <row r="176" spans="1:5" ht="14.25" customHeight="1" x14ac:dyDescent="0.3">
      <c r="A176" s="12">
        <v>43961</v>
      </c>
      <c r="B176" s="7" t="s">
        <v>23</v>
      </c>
      <c r="C176" s="7">
        <v>15</v>
      </c>
      <c r="D176" s="7">
        <v>792</v>
      </c>
      <c r="E176" s="7">
        <v>695</v>
      </c>
    </row>
    <row r="177" spans="1:5" ht="14.25" customHeight="1" x14ac:dyDescent="0.3">
      <c r="A177" s="12">
        <v>43961</v>
      </c>
      <c r="B177" s="7" t="s">
        <v>18</v>
      </c>
      <c r="C177" s="7">
        <v>15</v>
      </c>
      <c r="D177" s="7">
        <v>950</v>
      </c>
      <c r="E177" s="7">
        <v>848</v>
      </c>
    </row>
    <row r="178" spans="1:5" ht="14.25" customHeight="1" x14ac:dyDescent="0.3">
      <c r="A178" s="12">
        <v>43961</v>
      </c>
      <c r="B178" s="7" t="s">
        <v>19</v>
      </c>
      <c r="C178" s="7">
        <v>15</v>
      </c>
      <c r="D178" s="7">
        <v>706</v>
      </c>
      <c r="E178" s="7">
        <v>608</v>
      </c>
    </row>
    <row r="179" spans="1:5" ht="14.25" customHeight="1" x14ac:dyDescent="0.3">
      <c r="A179" s="12">
        <v>43961</v>
      </c>
      <c r="B179" s="7" t="s">
        <v>15</v>
      </c>
      <c r="C179" s="7">
        <v>125</v>
      </c>
      <c r="D179" s="7">
        <v>20368</v>
      </c>
      <c r="E179" s="7">
        <v>18884</v>
      </c>
    </row>
    <row r="180" spans="1:5" ht="14.25" customHeight="1" x14ac:dyDescent="0.3">
      <c r="A180" s="12">
        <v>43961</v>
      </c>
      <c r="B180" s="7" t="s">
        <v>14</v>
      </c>
      <c r="C180" s="7">
        <v>129</v>
      </c>
      <c r="D180" s="7">
        <v>16437</v>
      </c>
      <c r="E180" s="7">
        <v>15285</v>
      </c>
    </row>
    <row r="181" spans="1:5" ht="14.25" customHeight="1" x14ac:dyDescent="0.3">
      <c r="A181" s="12">
        <v>43961</v>
      </c>
      <c r="B181" s="7" t="s">
        <v>12</v>
      </c>
      <c r="C181" s="7">
        <v>10</v>
      </c>
      <c r="D181" s="7">
        <v>642</v>
      </c>
      <c r="E181" s="7">
        <v>556</v>
      </c>
    </row>
    <row r="182" spans="1:5" ht="14.25" customHeight="1" x14ac:dyDescent="0.3">
      <c r="A182" s="12">
        <v>43962</v>
      </c>
      <c r="B182" s="7" t="s">
        <v>16</v>
      </c>
      <c r="C182" s="7">
        <v>36</v>
      </c>
      <c r="D182" s="7">
        <v>4150</v>
      </c>
      <c r="E182" s="7">
        <v>3838</v>
      </c>
    </row>
    <row r="183" spans="1:5" ht="14.25" customHeight="1" x14ac:dyDescent="0.3">
      <c r="A183" s="12">
        <v>43962</v>
      </c>
      <c r="B183" s="7" t="s">
        <v>11</v>
      </c>
      <c r="C183" s="7">
        <v>31</v>
      </c>
      <c r="D183" s="7">
        <v>4826</v>
      </c>
      <c r="E183" s="7">
        <v>4483</v>
      </c>
    </row>
    <row r="184" spans="1:5" ht="14.25" customHeight="1" x14ac:dyDescent="0.3">
      <c r="A184" s="12">
        <v>43962</v>
      </c>
      <c r="B184" s="7" t="s">
        <v>17</v>
      </c>
      <c r="C184" s="7">
        <v>21</v>
      </c>
      <c r="D184" s="7">
        <v>1916</v>
      </c>
      <c r="E184" s="7">
        <v>1733</v>
      </c>
    </row>
    <row r="185" spans="1:5" ht="14.25" customHeight="1" x14ac:dyDescent="0.3">
      <c r="A185" s="12">
        <v>43962</v>
      </c>
      <c r="B185" s="7" t="s">
        <v>10</v>
      </c>
      <c r="C185" s="7">
        <v>21</v>
      </c>
      <c r="D185" s="7">
        <v>1597</v>
      </c>
      <c r="E185" s="7">
        <v>1457</v>
      </c>
    </row>
    <row r="186" spans="1:5" ht="14.25" customHeight="1" x14ac:dyDescent="0.3">
      <c r="A186" s="12">
        <v>43962</v>
      </c>
      <c r="B186" s="7" t="s">
        <v>20</v>
      </c>
      <c r="C186" s="7">
        <v>19</v>
      </c>
      <c r="D186" s="7">
        <v>1527</v>
      </c>
      <c r="E186" s="7">
        <v>1389</v>
      </c>
    </row>
    <row r="187" spans="1:5" ht="14.25" customHeight="1" x14ac:dyDescent="0.3">
      <c r="A187" s="12">
        <v>43962</v>
      </c>
      <c r="B187" s="7" t="s">
        <v>22</v>
      </c>
      <c r="C187" s="7">
        <v>54</v>
      </c>
      <c r="D187" s="7">
        <v>10570</v>
      </c>
      <c r="E187" s="7">
        <v>9926</v>
      </c>
    </row>
    <row r="188" spans="1:5" ht="14.25" customHeight="1" x14ac:dyDescent="0.3">
      <c r="A188" s="12">
        <v>43962</v>
      </c>
      <c r="B188" s="7" t="s">
        <v>21</v>
      </c>
      <c r="C188" s="7">
        <v>60</v>
      </c>
      <c r="D188" s="7">
        <v>11100</v>
      </c>
      <c r="E188" s="7">
        <v>10407</v>
      </c>
    </row>
    <row r="189" spans="1:5" ht="14.25" customHeight="1" x14ac:dyDescent="0.3">
      <c r="A189" s="12">
        <v>43962</v>
      </c>
      <c r="B189" s="7" t="s">
        <v>13</v>
      </c>
      <c r="C189" s="7">
        <v>19</v>
      </c>
      <c r="D189" s="7">
        <v>2530</v>
      </c>
      <c r="E189" s="7">
        <v>2270</v>
      </c>
    </row>
    <row r="190" spans="1:5" ht="14.25" customHeight="1" x14ac:dyDescent="0.3">
      <c r="A190" s="12">
        <v>43962</v>
      </c>
      <c r="B190" s="7" t="s">
        <v>23</v>
      </c>
      <c r="C190" s="7">
        <v>15</v>
      </c>
      <c r="D190" s="7">
        <v>654</v>
      </c>
      <c r="E190" s="7">
        <v>564</v>
      </c>
    </row>
    <row r="191" spans="1:5" ht="14.25" customHeight="1" x14ac:dyDescent="0.3">
      <c r="A191" s="12">
        <v>43962</v>
      </c>
      <c r="B191" s="7" t="s">
        <v>18</v>
      </c>
      <c r="C191" s="7">
        <v>15</v>
      </c>
      <c r="D191" s="7">
        <v>812</v>
      </c>
      <c r="E191" s="7">
        <v>714</v>
      </c>
    </row>
    <row r="192" spans="1:5" ht="14.25" customHeight="1" x14ac:dyDescent="0.3">
      <c r="A192" s="12">
        <v>43962</v>
      </c>
      <c r="B192" s="7" t="s">
        <v>19</v>
      </c>
      <c r="C192" s="7">
        <v>15</v>
      </c>
      <c r="D192" s="7">
        <v>684</v>
      </c>
      <c r="E192" s="7">
        <v>585</v>
      </c>
    </row>
    <row r="193" spans="1:5" ht="14.25" customHeight="1" x14ac:dyDescent="0.3">
      <c r="A193" s="12">
        <v>43962</v>
      </c>
      <c r="B193" s="7" t="s">
        <v>15</v>
      </c>
      <c r="C193" s="7">
        <v>125</v>
      </c>
      <c r="D193" s="7">
        <v>18066</v>
      </c>
      <c r="E193" s="7">
        <v>16883</v>
      </c>
    </row>
    <row r="194" spans="1:5" ht="14.25" customHeight="1" x14ac:dyDescent="0.3">
      <c r="A194" s="12">
        <v>43962</v>
      </c>
      <c r="B194" s="7" t="s">
        <v>14</v>
      </c>
      <c r="C194" s="7">
        <v>129</v>
      </c>
      <c r="D194" s="7">
        <v>14043</v>
      </c>
      <c r="E194" s="7">
        <v>13167</v>
      </c>
    </row>
    <row r="195" spans="1:5" ht="14.25" customHeight="1" x14ac:dyDescent="0.3">
      <c r="A195" s="12">
        <v>43962</v>
      </c>
      <c r="B195" s="7" t="s">
        <v>12</v>
      </c>
      <c r="C195" s="7">
        <v>10</v>
      </c>
      <c r="D195" s="7">
        <v>494</v>
      </c>
      <c r="E195" s="7">
        <v>421</v>
      </c>
    </row>
    <row r="196" spans="1:5" ht="14.25" customHeight="1" x14ac:dyDescent="0.3">
      <c r="A196" s="12">
        <v>43963</v>
      </c>
      <c r="B196" s="7" t="s">
        <v>16</v>
      </c>
      <c r="C196" s="7">
        <v>36</v>
      </c>
      <c r="D196" s="7">
        <v>4418</v>
      </c>
      <c r="E196" s="7">
        <v>4088</v>
      </c>
    </row>
    <row r="197" spans="1:5" ht="14.25" customHeight="1" x14ac:dyDescent="0.3">
      <c r="A197" s="12">
        <v>43963</v>
      </c>
      <c r="B197" s="7" t="s">
        <v>11</v>
      </c>
      <c r="C197" s="7">
        <v>31</v>
      </c>
      <c r="D197" s="7">
        <v>4800</v>
      </c>
      <c r="E197" s="7">
        <v>4470</v>
      </c>
    </row>
    <row r="198" spans="1:5" ht="14.25" customHeight="1" x14ac:dyDescent="0.3">
      <c r="A198" s="12">
        <v>43963</v>
      </c>
      <c r="B198" s="7" t="s">
        <v>17</v>
      </c>
      <c r="C198" s="7">
        <v>21</v>
      </c>
      <c r="D198" s="7">
        <v>1926</v>
      </c>
      <c r="E198" s="7">
        <v>1745</v>
      </c>
    </row>
    <row r="199" spans="1:5" ht="14.25" customHeight="1" x14ac:dyDescent="0.3">
      <c r="A199" s="12">
        <v>43963</v>
      </c>
      <c r="B199" s="7" t="s">
        <v>10</v>
      </c>
      <c r="C199" s="7">
        <v>21</v>
      </c>
      <c r="D199" s="7">
        <v>1656</v>
      </c>
      <c r="E199" s="7">
        <v>1516</v>
      </c>
    </row>
    <row r="200" spans="1:5" ht="14.25" customHeight="1" x14ac:dyDescent="0.3">
      <c r="A200" s="12">
        <v>43963</v>
      </c>
      <c r="B200" s="7" t="s">
        <v>20</v>
      </c>
      <c r="C200" s="7">
        <v>19</v>
      </c>
      <c r="D200" s="7">
        <v>1598</v>
      </c>
      <c r="E200" s="7">
        <v>1454</v>
      </c>
    </row>
    <row r="201" spans="1:5" ht="14.25" customHeight="1" x14ac:dyDescent="0.3">
      <c r="A201" s="12">
        <v>43963</v>
      </c>
      <c r="B201" s="7" t="s">
        <v>22</v>
      </c>
      <c r="C201" s="7">
        <v>54</v>
      </c>
      <c r="D201" s="7">
        <v>11614</v>
      </c>
      <c r="E201" s="7">
        <v>10862</v>
      </c>
    </row>
    <row r="202" spans="1:5" ht="14.25" customHeight="1" x14ac:dyDescent="0.3">
      <c r="A202" s="12">
        <v>43963</v>
      </c>
      <c r="B202" s="7" t="s">
        <v>21</v>
      </c>
      <c r="C202" s="7">
        <v>60</v>
      </c>
      <c r="D202" s="7">
        <v>12000</v>
      </c>
      <c r="E202" s="7">
        <v>11194</v>
      </c>
    </row>
    <row r="203" spans="1:5" ht="14.25" customHeight="1" x14ac:dyDescent="0.3">
      <c r="A203" s="12">
        <v>43963</v>
      </c>
      <c r="B203" s="7" t="s">
        <v>13</v>
      </c>
      <c r="C203" s="7">
        <v>19</v>
      </c>
      <c r="D203" s="7">
        <v>1649</v>
      </c>
      <c r="E203" s="7">
        <v>1460</v>
      </c>
    </row>
    <row r="204" spans="1:5" ht="14.25" customHeight="1" x14ac:dyDescent="0.3">
      <c r="A204" s="12">
        <v>43963</v>
      </c>
      <c r="B204" s="7" t="s">
        <v>23</v>
      </c>
      <c r="C204" s="7">
        <v>15</v>
      </c>
      <c r="D204" s="7">
        <v>750</v>
      </c>
      <c r="E204" s="7">
        <v>659</v>
      </c>
    </row>
    <row r="205" spans="1:5" ht="14.25" customHeight="1" x14ac:dyDescent="0.3">
      <c r="A205" s="12">
        <v>43963</v>
      </c>
      <c r="B205" s="7" t="s">
        <v>18</v>
      </c>
      <c r="C205" s="7">
        <v>15</v>
      </c>
      <c r="D205" s="7">
        <v>845</v>
      </c>
      <c r="E205" s="7">
        <v>743</v>
      </c>
    </row>
    <row r="206" spans="1:5" ht="14.25" customHeight="1" x14ac:dyDescent="0.3">
      <c r="A206" s="12">
        <v>43963</v>
      </c>
      <c r="B206" s="7" t="s">
        <v>19</v>
      </c>
      <c r="C206" s="7">
        <v>15</v>
      </c>
      <c r="D206" s="7">
        <v>624</v>
      </c>
      <c r="E206" s="7">
        <v>538</v>
      </c>
    </row>
    <row r="207" spans="1:5" ht="14.25" customHeight="1" x14ac:dyDescent="0.3">
      <c r="A207" s="12">
        <v>43963</v>
      </c>
      <c r="B207" s="7" t="s">
        <v>15</v>
      </c>
      <c r="C207" s="7">
        <v>125</v>
      </c>
      <c r="D207" s="7">
        <v>21106</v>
      </c>
      <c r="E207" s="7">
        <v>19651</v>
      </c>
    </row>
    <row r="208" spans="1:5" ht="14.25" customHeight="1" x14ac:dyDescent="0.3">
      <c r="A208" s="12">
        <v>43963</v>
      </c>
      <c r="B208" s="7" t="s">
        <v>14</v>
      </c>
      <c r="C208" s="7">
        <v>129</v>
      </c>
      <c r="D208" s="7">
        <v>16387</v>
      </c>
      <c r="E208" s="7">
        <v>15322</v>
      </c>
    </row>
    <row r="209" spans="1:5" ht="14.25" customHeight="1" x14ac:dyDescent="0.3">
      <c r="A209" s="12">
        <v>43963</v>
      </c>
      <c r="B209" s="7" t="s">
        <v>12</v>
      </c>
      <c r="C209" s="7">
        <v>10</v>
      </c>
      <c r="D209" s="7">
        <v>526</v>
      </c>
      <c r="E209" s="7">
        <v>448</v>
      </c>
    </row>
    <row r="210" spans="1:5" ht="14.25" customHeight="1" x14ac:dyDescent="0.3">
      <c r="A210" s="12">
        <v>43964</v>
      </c>
      <c r="B210" s="7" t="s">
        <v>16</v>
      </c>
      <c r="C210" s="7">
        <v>36</v>
      </c>
      <c r="D210" s="7">
        <v>4967</v>
      </c>
      <c r="E210" s="7">
        <v>4583</v>
      </c>
    </row>
    <row r="211" spans="1:5" ht="14.25" customHeight="1" x14ac:dyDescent="0.3">
      <c r="A211" s="12">
        <v>43964</v>
      </c>
      <c r="B211" s="7" t="s">
        <v>11</v>
      </c>
      <c r="C211" s="7">
        <v>31</v>
      </c>
      <c r="D211" s="7">
        <v>5251</v>
      </c>
      <c r="E211" s="7">
        <v>4853</v>
      </c>
    </row>
    <row r="212" spans="1:5" ht="14.25" customHeight="1" x14ac:dyDescent="0.3">
      <c r="A212" s="12">
        <v>43964</v>
      </c>
      <c r="B212" s="7" t="s">
        <v>17</v>
      </c>
      <c r="C212" s="7">
        <v>21</v>
      </c>
      <c r="D212" s="7">
        <v>2061</v>
      </c>
      <c r="E212" s="7">
        <v>1876</v>
      </c>
    </row>
    <row r="213" spans="1:5" ht="14.25" customHeight="1" x14ac:dyDescent="0.3">
      <c r="A213" s="12">
        <v>43964</v>
      </c>
      <c r="B213" s="7" t="s">
        <v>10</v>
      </c>
      <c r="C213" s="7">
        <v>21</v>
      </c>
      <c r="D213" s="7">
        <v>1698</v>
      </c>
      <c r="E213" s="7">
        <v>1554</v>
      </c>
    </row>
    <row r="214" spans="1:5" ht="14.25" customHeight="1" x14ac:dyDescent="0.3">
      <c r="A214" s="12">
        <v>43964</v>
      </c>
      <c r="B214" s="7" t="s">
        <v>20</v>
      </c>
      <c r="C214" s="7">
        <v>19</v>
      </c>
      <c r="D214" s="7">
        <v>1605</v>
      </c>
      <c r="E214" s="7">
        <v>1447</v>
      </c>
    </row>
    <row r="215" spans="1:5" ht="14.25" customHeight="1" x14ac:dyDescent="0.3">
      <c r="A215" s="12">
        <v>43964</v>
      </c>
      <c r="B215" s="7" t="s">
        <v>22</v>
      </c>
      <c r="C215" s="7">
        <v>54</v>
      </c>
      <c r="D215" s="7">
        <v>11522</v>
      </c>
      <c r="E215" s="7">
        <v>10803</v>
      </c>
    </row>
    <row r="216" spans="1:5" ht="14.25" customHeight="1" x14ac:dyDescent="0.3">
      <c r="A216" s="12">
        <v>43964</v>
      </c>
      <c r="B216" s="7" t="s">
        <v>21</v>
      </c>
      <c r="C216" s="7">
        <v>60</v>
      </c>
      <c r="D216" s="7">
        <v>12007</v>
      </c>
      <c r="E216" s="7">
        <v>11245</v>
      </c>
    </row>
    <row r="217" spans="1:5" ht="14.25" customHeight="1" x14ac:dyDescent="0.3">
      <c r="A217" s="12">
        <v>43964</v>
      </c>
      <c r="B217" s="7" t="s">
        <v>13</v>
      </c>
      <c r="C217" s="7">
        <v>19</v>
      </c>
      <c r="D217" s="7">
        <v>1625</v>
      </c>
      <c r="E217" s="7">
        <v>1444</v>
      </c>
    </row>
    <row r="218" spans="1:5" ht="14.25" customHeight="1" x14ac:dyDescent="0.3">
      <c r="A218" s="12">
        <v>43964</v>
      </c>
      <c r="B218" s="7" t="s">
        <v>23</v>
      </c>
      <c r="C218" s="7">
        <v>15</v>
      </c>
      <c r="D218" s="7">
        <v>854</v>
      </c>
      <c r="E218" s="7">
        <v>756</v>
      </c>
    </row>
    <row r="219" spans="1:5" ht="14.25" customHeight="1" x14ac:dyDescent="0.3">
      <c r="A219" s="12">
        <v>43964</v>
      </c>
      <c r="B219" s="7" t="s">
        <v>18</v>
      </c>
      <c r="C219" s="7">
        <v>15</v>
      </c>
      <c r="D219" s="7">
        <v>898</v>
      </c>
      <c r="E219" s="7">
        <v>795</v>
      </c>
    </row>
    <row r="220" spans="1:5" ht="14.25" customHeight="1" x14ac:dyDescent="0.3">
      <c r="A220" s="12">
        <v>43964</v>
      </c>
      <c r="B220" s="7" t="s">
        <v>19</v>
      </c>
      <c r="C220" s="7">
        <v>15</v>
      </c>
      <c r="D220" s="7">
        <v>599</v>
      </c>
      <c r="E220" s="7">
        <v>515</v>
      </c>
    </row>
    <row r="221" spans="1:5" ht="14.25" customHeight="1" x14ac:dyDescent="0.3">
      <c r="A221" s="12">
        <v>43964</v>
      </c>
      <c r="B221" s="7" t="s">
        <v>15</v>
      </c>
      <c r="C221" s="7">
        <v>125</v>
      </c>
      <c r="D221" s="7">
        <v>19965</v>
      </c>
      <c r="E221" s="7">
        <v>18573</v>
      </c>
    </row>
    <row r="222" spans="1:5" ht="14.25" customHeight="1" x14ac:dyDescent="0.3">
      <c r="A222" s="12">
        <v>43964</v>
      </c>
      <c r="B222" s="7" t="s">
        <v>14</v>
      </c>
      <c r="C222" s="7">
        <v>129</v>
      </c>
      <c r="D222" s="7">
        <v>15304</v>
      </c>
      <c r="E222" s="7">
        <v>14315</v>
      </c>
    </row>
    <row r="223" spans="1:5" ht="14.25" customHeight="1" x14ac:dyDescent="0.3">
      <c r="A223" s="12">
        <v>43964</v>
      </c>
      <c r="B223" s="7" t="s">
        <v>12</v>
      </c>
      <c r="C223" s="7">
        <v>10</v>
      </c>
      <c r="D223" s="7">
        <v>612</v>
      </c>
      <c r="E223" s="7">
        <v>530</v>
      </c>
    </row>
    <row r="224" spans="1:5" ht="14.25" customHeight="1" x14ac:dyDescent="0.3">
      <c r="A224" s="12">
        <v>43965</v>
      </c>
      <c r="B224" s="7" t="s">
        <v>16</v>
      </c>
      <c r="C224" s="7">
        <v>36</v>
      </c>
      <c r="D224" s="7">
        <v>4285</v>
      </c>
      <c r="E224" s="7">
        <v>3950</v>
      </c>
    </row>
    <row r="225" spans="1:5" ht="14.25" customHeight="1" x14ac:dyDescent="0.3">
      <c r="A225" s="12">
        <v>43965</v>
      </c>
      <c r="B225" s="7" t="s">
        <v>11</v>
      </c>
      <c r="C225" s="7">
        <v>31</v>
      </c>
      <c r="D225" s="7">
        <v>4695</v>
      </c>
      <c r="E225" s="7">
        <v>4372</v>
      </c>
    </row>
    <row r="226" spans="1:5" ht="14.25" customHeight="1" x14ac:dyDescent="0.3">
      <c r="A226" s="12">
        <v>43965</v>
      </c>
      <c r="B226" s="7" t="s">
        <v>17</v>
      </c>
      <c r="C226" s="7">
        <v>21</v>
      </c>
      <c r="D226" s="7">
        <v>1993</v>
      </c>
      <c r="E226" s="7">
        <v>1796</v>
      </c>
    </row>
    <row r="227" spans="1:5" ht="14.25" customHeight="1" x14ac:dyDescent="0.3">
      <c r="A227" s="12">
        <v>43965</v>
      </c>
      <c r="B227" s="7" t="s">
        <v>10</v>
      </c>
      <c r="C227" s="7">
        <v>21</v>
      </c>
      <c r="D227" s="7">
        <v>1706</v>
      </c>
      <c r="E227" s="7">
        <v>1548</v>
      </c>
    </row>
    <row r="228" spans="1:5" ht="14.25" customHeight="1" x14ac:dyDescent="0.3">
      <c r="A228" s="12">
        <v>43965</v>
      </c>
      <c r="B228" s="7" t="s">
        <v>20</v>
      </c>
      <c r="C228" s="7">
        <v>19</v>
      </c>
      <c r="D228" s="7">
        <v>1635</v>
      </c>
      <c r="E228" s="7">
        <v>1487</v>
      </c>
    </row>
    <row r="229" spans="1:5" ht="14.25" customHeight="1" x14ac:dyDescent="0.3">
      <c r="A229" s="12">
        <v>43965</v>
      </c>
      <c r="B229" s="7" t="s">
        <v>22</v>
      </c>
      <c r="C229" s="7">
        <v>54</v>
      </c>
      <c r="D229" s="7">
        <v>11194</v>
      </c>
      <c r="E229" s="7">
        <v>10554</v>
      </c>
    </row>
    <row r="230" spans="1:5" ht="14.25" customHeight="1" x14ac:dyDescent="0.3">
      <c r="A230" s="12">
        <v>43965</v>
      </c>
      <c r="B230" s="7" t="s">
        <v>21</v>
      </c>
      <c r="C230" s="7">
        <v>60</v>
      </c>
      <c r="D230" s="7">
        <v>11935</v>
      </c>
      <c r="E230" s="7">
        <v>11178</v>
      </c>
    </row>
    <row r="231" spans="1:5" ht="14.25" customHeight="1" x14ac:dyDescent="0.3">
      <c r="A231" s="12">
        <v>43965</v>
      </c>
      <c r="B231" s="7" t="s">
        <v>13</v>
      </c>
      <c r="C231" s="7">
        <v>19</v>
      </c>
      <c r="D231" s="7">
        <v>1675</v>
      </c>
      <c r="E231" s="7">
        <v>1475</v>
      </c>
    </row>
    <row r="232" spans="1:5" ht="14.25" customHeight="1" x14ac:dyDescent="0.3">
      <c r="A232" s="12">
        <v>43965</v>
      </c>
      <c r="B232" s="7" t="s">
        <v>23</v>
      </c>
      <c r="C232" s="7">
        <v>16</v>
      </c>
      <c r="D232" s="7">
        <v>834</v>
      </c>
      <c r="E232" s="7">
        <v>735</v>
      </c>
    </row>
    <row r="233" spans="1:5" ht="14.25" customHeight="1" x14ac:dyDescent="0.3">
      <c r="A233" s="12">
        <v>43965</v>
      </c>
      <c r="B233" s="7" t="s">
        <v>18</v>
      </c>
      <c r="C233" s="7">
        <v>15</v>
      </c>
      <c r="D233" s="7">
        <v>890</v>
      </c>
      <c r="E233" s="7">
        <v>777</v>
      </c>
    </row>
    <row r="234" spans="1:5" ht="14.25" customHeight="1" x14ac:dyDescent="0.3">
      <c r="A234" s="12">
        <v>43965</v>
      </c>
      <c r="B234" s="7" t="s">
        <v>19</v>
      </c>
      <c r="C234" s="7">
        <v>15</v>
      </c>
      <c r="D234" s="7">
        <v>638</v>
      </c>
      <c r="E234" s="7">
        <v>548</v>
      </c>
    </row>
    <row r="235" spans="1:5" ht="14.25" customHeight="1" x14ac:dyDescent="0.3">
      <c r="A235" s="12">
        <v>43965</v>
      </c>
      <c r="B235" s="7" t="s">
        <v>15</v>
      </c>
      <c r="C235" s="7">
        <v>125</v>
      </c>
      <c r="D235" s="7">
        <v>20247</v>
      </c>
      <c r="E235" s="7">
        <v>18812</v>
      </c>
    </row>
    <row r="236" spans="1:5" ht="14.25" customHeight="1" x14ac:dyDescent="0.3">
      <c r="A236" s="12">
        <v>43965</v>
      </c>
      <c r="B236" s="7" t="s">
        <v>14</v>
      </c>
      <c r="C236" s="7">
        <v>129</v>
      </c>
      <c r="D236" s="7">
        <v>15804</v>
      </c>
      <c r="E236" s="7">
        <v>14738</v>
      </c>
    </row>
    <row r="237" spans="1:5" ht="14.25" customHeight="1" x14ac:dyDescent="0.3">
      <c r="A237" s="12">
        <v>43965</v>
      </c>
      <c r="B237" s="7" t="s">
        <v>12</v>
      </c>
      <c r="C237" s="7">
        <v>10</v>
      </c>
      <c r="D237" s="7">
        <v>627</v>
      </c>
      <c r="E237" s="7">
        <v>545</v>
      </c>
    </row>
    <row r="238" spans="1:5" ht="14.25" customHeight="1" x14ac:dyDescent="0.3">
      <c r="A238" s="12">
        <v>43966</v>
      </c>
      <c r="B238" s="7" t="s">
        <v>16</v>
      </c>
      <c r="C238" s="7">
        <v>36</v>
      </c>
      <c r="D238" s="7">
        <v>4862</v>
      </c>
      <c r="E238" s="7">
        <v>4476</v>
      </c>
    </row>
    <row r="239" spans="1:5" ht="14.25" customHeight="1" x14ac:dyDescent="0.3">
      <c r="A239" s="12">
        <v>43966</v>
      </c>
      <c r="B239" s="7" t="s">
        <v>11</v>
      </c>
      <c r="C239" s="7">
        <v>31</v>
      </c>
      <c r="D239" s="7">
        <v>5184</v>
      </c>
      <c r="E239" s="7">
        <v>4778</v>
      </c>
    </row>
    <row r="240" spans="1:5" ht="14.25" customHeight="1" x14ac:dyDescent="0.3">
      <c r="A240" s="12">
        <v>43966</v>
      </c>
      <c r="B240" s="7" t="s">
        <v>17</v>
      </c>
      <c r="C240" s="7">
        <v>21</v>
      </c>
      <c r="D240" s="7">
        <v>2255</v>
      </c>
      <c r="E240" s="7">
        <v>2045</v>
      </c>
    </row>
    <row r="241" spans="1:5" ht="14.25" customHeight="1" x14ac:dyDescent="0.3">
      <c r="A241" s="12">
        <v>43966</v>
      </c>
      <c r="B241" s="7" t="s">
        <v>10</v>
      </c>
      <c r="C241" s="7">
        <v>21</v>
      </c>
      <c r="D241" s="7">
        <v>1926</v>
      </c>
      <c r="E241" s="7">
        <v>1742</v>
      </c>
    </row>
    <row r="242" spans="1:5" ht="14.25" customHeight="1" x14ac:dyDescent="0.3">
      <c r="A242" s="12">
        <v>43966</v>
      </c>
      <c r="B242" s="7" t="s">
        <v>20</v>
      </c>
      <c r="C242" s="7">
        <v>19</v>
      </c>
      <c r="D242" s="7">
        <v>1780</v>
      </c>
      <c r="E242" s="7">
        <v>1615</v>
      </c>
    </row>
    <row r="243" spans="1:5" ht="14.25" customHeight="1" x14ac:dyDescent="0.3">
      <c r="A243" s="12">
        <v>43966</v>
      </c>
      <c r="B243" s="7" t="s">
        <v>22</v>
      </c>
      <c r="C243" s="7">
        <v>54</v>
      </c>
      <c r="D243" s="7">
        <v>12791</v>
      </c>
      <c r="E243" s="7">
        <v>11950</v>
      </c>
    </row>
    <row r="244" spans="1:5" ht="14.25" customHeight="1" x14ac:dyDescent="0.3">
      <c r="A244" s="12">
        <v>43966</v>
      </c>
      <c r="B244" s="7" t="s">
        <v>21</v>
      </c>
      <c r="C244" s="7">
        <v>60</v>
      </c>
      <c r="D244" s="7">
        <v>13544</v>
      </c>
      <c r="E244" s="7">
        <v>12643</v>
      </c>
    </row>
    <row r="245" spans="1:5" ht="14.25" customHeight="1" x14ac:dyDescent="0.3">
      <c r="A245" s="12">
        <v>43966</v>
      </c>
      <c r="B245" s="7" t="s">
        <v>13</v>
      </c>
      <c r="C245" s="7">
        <v>19</v>
      </c>
      <c r="D245" s="7">
        <v>1940</v>
      </c>
      <c r="E245" s="7">
        <v>1715</v>
      </c>
    </row>
    <row r="246" spans="1:5" ht="14.25" customHeight="1" x14ac:dyDescent="0.3">
      <c r="A246" s="12">
        <v>43966</v>
      </c>
      <c r="B246" s="7" t="s">
        <v>23</v>
      </c>
      <c r="C246" s="7">
        <v>16</v>
      </c>
      <c r="D246" s="7">
        <v>817</v>
      </c>
      <c r="E246" s="7">
        <v>718</v>
      </c>
    </row>
    <row r="247" spans="1:5" ht="14.25" customHeight="1" x14ac:dyDescent="0.3">
      <c r="A247" s="12">
        <v>43966</v>
      </c>
      <c r="B247" s="7" t="s">
        <v>18</v>
      </c>
      <c r="C247" s="7">
        <v>15</v>
      </c>
      <c r="D247" s="7">
        <v>980</v>
      </c>
      <c r="E247" s="7">
        <v>867</v>
      </c>
    </row>
    <row r="248" spans="1:5" ht="14.25" customHeight="1" x14ac:dyDescent="0.3">
      <c r="A248" s="12">
        <v>43966</v>
      </c>
      <c r="B248" s="7" t="s">
        <v>19</v>
      </c>
      <c r="C248" s="7">
        <v>15</v>
      </c>
      <c r="D248" s="7">
        <v>688</v>
      </c>
      <c r="E248" s="7">
        <v>598</v>
      </c>
    </row>
    <row r="249" spans="1:5" ht="14.25" customHeight="1" x14ac:dyDescent="0.3">
      <c r="A249" s="12">
        <v>43966</v>
      </c>
      <c r="B249" s="7" t="s">
        <v>15</v>
      </c>
      <c r="C249" s="7">
        <v>125</v>
      </c>
      <c r="D249" s="7">
        <v>21862</v>
      </c>
      <c r="E249" s="7">
        <v>20235</v>
      </c>
    </row>
    <row r="250" spans="1:5" ht="14.25" customHeight="1" x14ac:dyDescent="0.3">
      <c r="A250" s="12">
        <v>43966</v>
      </c>
      <c r="B250" s="7" t="s">
        <v>14</v>
      </c>
      <c r="C250" s="7">
        <v>129</v>
      </c>
      <c r="D250" s="7">
        <v>17808</v>
      </c>
      <c r="E250" s="7">
        <v>16486</v>
      </c>
    </row>
    <row r="251" spans="1:5" ht="14.25" customHeight="1" x14ac:dyDescent="0.3">
      <c r="A251" s="12">
        <v>43966</v>
      </c>
      <c r="B251" s="7" t="s">
        <v>12</v>
      </c>
      <c r="C251" s="7">
        <v>10</v>
      </c>
      <c r="D251" s="7">
        <v>743</v>
      </c>
      <c r="E251" s="7">
        <v>652</v>
      </c>
    </row>
    <row r="252" spans="1:5" ht="14.25" customHeight="1" x14ac:dyDescent="0.3">
      <c r="A252" s="12">
        <v>43967</v>
      </c>
      <c r="B252" s="7" t="s">
        <v>16</v>
      </c>
      <c r="C252" s="7">
        <v>36</v>
      </c>
      <c r="D252" s="7">
        <v>5286</v>
      </c>
      <c r="E252" s="7">
        <v>4867</v>
      </c>
    </row>
    <row r="253" spans="1:5" ht="14.25" customHeight="1" x14ac:dyDescent="0.3">
      <c r="A253" s="12">
        <v>43967</v>
      </c>
      <c r="B253" s="7" t="s">
        <v>11</v>
      </c>
      <c r="C253" s="7">
        <v>31</v>
      </c>
      <c r="D253" s="7">
        <v>5593</v>
      </c>
      <c r="E253" s="7">
        <v>5177</v>
      </c>
    </row>
    <row r="254" spans="1:5" ht="14.25" customHeight="1" x14ac:dyDescent="0.3">
      <c r="A254" s="12">
        <v>43967</v>
      </c>
      <c r="B254" s="7" t="s">
        <v>17</v>
      </c>
      <c r="C254" s="7">
        <v>21</v>
      </c>
      <c r="D254" s="7">
        <v>2427</v>
      </c>
      <c r="E254" s="7">
        <v>2213</v>
      </c>
    </row>
    <row r="255" spans="1:5" ht="14.25" customHeight="1" x14ac:dyDescent="0.3">
      <c r="A255" s="12">
        <v>43967</v>
      </c>
      <c r="B255" s="7" t="s">
        <v>10</v>
      </c>
      <c r="C255" s="7">
        <v>21</v>
      </c>
      <c r="D255" s="7">
        <v>2145</v>
      </c>
      <c r="E255" s="7">
        <v>1947</v>
      </c>
    </row>
    <row r="256" spans="1:5" ht="14.25" customHeight="1" x14ac:dyDescent="0.3">
      <c r="A256" s="12">
        <v>43967</v>
      </c>
      <c r="B256" s="7" t="s">
        <v>20</v>
      </c>
      <c r="C256" s="7">
        <v>19</v>
      </c>
      <c r="D256" s="7">
        <v>2039</v>
      </c>
      <c r="E256" s="7">
        <v>1868</v>
      </c>
    </row>
    <row r="257" spans="1:5" ht="14.25" customHeight="1" x14ac:dyDescent="0.3">
      <c r="A257" s="12">
        <v>43967</v>
      </c>
      <c r="B257" s="7" t="s">
        <v>22</v>
      </c>
      <c r="C257" s="7">
        <v>54</v>
      </c>
      <c r="D257" s="7">
        <v>13170</v>
      </c>
      <c r="E257" s="7">
        <v>12299</v>
      </c>
    </row>
    <row r="258" spans="1:5" ht="14.25" customHeight="1" x14ac:dyDescent="0.3">
      <c r="A258" s="12">
        <v>43967</v>
      </c>
      <c r="B258" s="7" t="s">
        <v>21</v>
      </c>
      <c r="C258" s="7">
        <v>60</v>
      </c>
      <c r="D258" s="7">
        <v>14049</v>
      </c>
      <c r="E258" s="7">
        <v>13118</v>
      </c>
    </row>
    <row r="259" spans="1:5" ht="14.25" customHeight="1" x14ac:dyDescent="0.3">
      <c r="A259" s="12">
        <v>43967</v>
      </c>
      <c r="B259" s="7" t="s">
        <v>13</v>
      </c>
      <c r="C259" s="7">
        <v>19</v>
      </c>
      <c r="D259" s="7">
        <v>2080</v>
      </c>
      <c r="E259" s="7">
        <v>1844</v>
      </c>
    </row>
    <row r="260" spans="1:5" ht="14.25" customHeight="1" x14ac:dyDescent="0.3">
      <c r="A260" s="12">
        <v>43967</v>
      </c>
      <c r="B260" s="7" t="s">
        <v>23</v>
      </c>
      <c r="C260" s="7">
        <v>16</v>
      </c>
      <c r="D260" s="7">
        <v>920</v>
      </c>
      <c r="E260" s="7">
        <v>818</v>
      </c>
    </row>
    <row r="261" spans="1:5" ht="14.25" customHeight="1" x14ac:dyDescent="0.3">
      <c r="A261" s="12">
        <v>43967</v>
      </c>
      <c r="B261" s="7" t="s">
        <v>18</v>
      </c>
      <c r="C261" s="7">
        <v>15</v>
      </c>
      <c r="D261" s="7">
        <v>1111</v>
      </c>
      <c r="E261" s="7">
        <v>992</v>
      </c>
    </row>
    <row r="262" spans="1:5" ht="14.25" customHeight="1" x14ac:dyDescent="0.3">
      <c r="A262" s="12">
        <v>43967</v>
      </c>
      <c r="B262" s="7" t="s">
        <v>19</v>
      </c>
      <c r="C262" s="7">
        <v>15</v>
      </c>
      <c r="D262" s="7">
        <v>747</v>
      </c>
      <c r="E262" s="7">
        <v>647</v>
      </c>
    </row>
    <row r="263" spans="1:5" ht="14.25" customHeight="1" x14ac:dyDescent="0.3">
      <c r="A263" s="12">
        <v>43967</v>
      </c>
      <c r="B263" s="7" t="s">
        <v>15</v>
      </c>
      <c r="C263" s="7">
        <v>125</v>
      </c>
      <c r="D263" s="7">
        <v>22291</v>
      </c>
      <c r="E263" s="7">
        <v>20635</v>
      </c>
    </row>
    <row r="264" spans="1:5" ht="14.25" customHeight="1" x14ac:dyDescent="0.3">
      <c r="A264" s="12">
        <v>43967</v>
      </c>
      <c r="B264" s="7" t="s">
        <v>14</v>
      </c>
      <c r="C264" s="7">
        <v>129</v>
      </c>
      <c r="D264" s="7">
        <v>17914</v>
      </c>
      <c r="E264" s="7">
        <v>16631</v>
      </c>
    </row>
    <row r="265" spans="1:5" ht="14.25" customHeight="1" x14ac:dyDescent="0.3">
      <c r="A265" s="12">
        <v>43967</v>
      </c>
      <c r="B265" s="7" t="s">
        <v>12</v>
      </c>
      <c r="C265" s="7">
        <v>10</v>
      </c>
      <c r="D265" s="7">
        <v>760</v>
      </c>
      <c r="E265" s="7">
        <v>672</v>
      </c>
    </row>
    <row r="266" spans="1:5" ht="14.25" customHeight="1" x14ac:dyDescent="0.3">
      <c r="A266" s="12">
        <v>43968</v>
      </c>
      <c r="B266" s="7" t="s">
        <v>16</v>
      </c>
      <c r="C266" s="7">
        <v>36</v>
      </c>
      <c r="D266" s="7">
        <v>4918</v>
      </c>
      <c r="E266" s="7">
        <v>4554</v>
      </c>
    </row>
    <row r="267" spans="1:5" ht="14.25" customHeight="1" x14ac:dyDescent="0.3">
      <c r="A267" s="12">
        <v>43968</v>
      </c>
      <c r="B267" s="7" t="s">
        <v>11</v>
      </c>
      <c r="C267" s="7">
        <v>31</v>
      </c>
      <c r="D267" s="7">
        <v>5206</v>
      </c>
      <c r="E267" s="7">
        <v>4843</v>
      </c>
    </row>
    <row r="268" spans="1:5" ht="14.25" customHeight="1" x14ac:dyDescent="0.3">
      <c r="A268" s="12">
        <v>43968</v>
      </c>
      <c r="B268" s="7" t="s">
        <v>17</v>
      </c>
      <c r="C268" s="7">
        <v>21</v>
      </c>
      <c r="D268" s="7">
        <v>2054</v>
      </c>
      <c r="E268" s="7">
        <v>1883</v>
      </c>
    </row>
    <row r="269" spans="1:5" ht="14.25" customHeight="1" x14ac:dyDescent="0.3">
      <c r="A269" s="12">
        <v>43968</v>
      </c>
      <c r="B269" s="7" t="s">
        <v>10</v>
      </c>
      <c r="C269" s="7">
        <v>21</v>
      </c>
      <c r="D269" s="7">
        <v>1874</v>
      </c>
      <c r="E269" s="7">
        <v>1705</v>
      </c>
    </row>
    <row r="270" spans="1:5" ht="14.25" customHeight="1" x14ac:dyDescent="0.3">
      <c r="A270" s="12">
        <v>43968</v>
      </c>
      <c r="B270" s="7" t="s">
        <v>20</v>
      </c>
      <c r="C270" s="7">
        <v>19</v>
      </c>
      <c r="D270" s="7">
        <v>1790</v>
      </c>
      <c r="E270" s="7">
        <v>1633</v>
      </c>
    </row>
    <row r="271" spans="1:5" ht="14.25" customHeight="1" x14ac:dyDescent="0.3">
      <c r="A271" s="12">
        <v>43968</v>
      </c>
      <c r="B271" s="7" t="s">
        <v>22</v>
      </c>
      <c r="C271" s="7">
        <v>54</v>
      </c>
      <c r="D271" s="7">
        <v>11128</v>
      </c>
      <c r="E271" s="7">
        <v>10467</v>
      </c>
    </row>
    <row r="272" spans="1:5" ht="14.25" customHeight="1" x14ac:dyDescent="0.3">
      <c r="A272" s="12">
        <v>43968</v>
      </c>
      <c r="B272" s="7" t="s">
        <v>21</v>
      </c>
      <c r="C272" s="7">
        <v>60</v>
      </c>
      <c r="D272" s="7">
        <v>11698</v>
      </c>
      <c r="E272" s="7">
        <v>10989</v>
      </c>
    </row>
    <row r="273" spans="1:5" ht="14.25" customHeight="1" x14ac:dyDescent="0.3">
      <c r="A273" s="12">
        <v>43968</v>
      </c>
      <c r="B273" s="7" t="s">
        <v>13</v>
      </c>
      <c r="C273" s="7">
        <v>19</v>
      </c>
      <c r="D273" s="7">
        <v>1871</v>
      </c>
      <c r="E273" s="7">
        <v>1660</v>
      </c>
    </row>
    <row r="274" spans="1:5" ht="14.25" customHeight="1" x14ac:dyDescent="0.3">
      <c r="A274" s="12">
        <v>43968</v>
      </c>
      <c r="B274" s="7" t="s">
        <v>23</v>
      </c>
      <c r="C274" s="7">
        <v>16</v>
      </c>
      <c r="D274" s="7">
        <v>859</v>
      </c>
      <c r="E274" s="7">
        <v>746</v>
      </c>
    </row>
    <row r="275" spans="1:5" ht="14.25" customHeight="1" x14ac:dyDescent="0.3">
      <c r="A275" s="12">
        <v>43968</v>
      </c>
      <c r="B275" s="7" t="s">
        <v>18</v>
      </c>
      <c r="C275" s="7">
        <v>15</v>
      </c>
      <c r="D275" s="7">
        <v>971</v>
      </c>
      <c r="E275" s="7">
        <v>856</v>
      </c>
    </row>
    <row r="276" spans="1:5" ht="14.25" customHeight="1" x14ac:dyDescent="0.3">
      <c r="A276" s="12">
        <v>43968</v>
      </c>
      <c r="B276" s="7" t="s">
        <v>19</v>
      </c>
      <c r="C276" s="7">
        <v>15</v>
      </c>
      <c r="D276" s="7">
        <v>692</v>
      </c>
      <c r="E276" s="7">
        <v>591</v>
      </c>
    </row>
    <row r="277" spans="1:5" ht="14.25" customHeight="1" x14ac:dyDescent="0.3">
      <c r="A277" s="12">
        <v>43968</v>
      </c>
      <c r="B277" s="7" t="s">
        <v>15</v>
      </c>
      <c r="C277" s="7">
        <v>125</v>
      </c>
      <c r="D277" s="7">
        <v>20079</v>
      </c>
      <c r="E277" s="7">
        <v>18721</v>
      </c>
    </row>
    <row r="278" spans="1:5" ht="14.25" customHeight="1" x14ac:dyDescent="0.3">
      <c r="A278" s="12">
        <v>43968</v>
      </c>
      <c r="B278" s="7" t="s">
        <v>14</v>
      </c>
      <c r="C278" s="7">
        <v>129</v>
      </c>
      <c r="D278" s="7">
        <v>15744</v>
      </c>
      <c r="E278" s="7">
        <v>14685</v>
      </c>
    </row>
    <row r="279" spans="1:5" ht="14.25" customHeight="1" x14ac:dyDescent="0.3">
      <c r="A279" s="12">
        <v>43968</v>
      </c>
      <c r="B279" s="7" t="s">
        <v>12</v>
      </c>
      <c r="C279" s="7">
        <v>10</v>
      </c>
      <c r="D279" s="7">
        <v>591</v>
      </c>
      <c r="E279" s="7">
        <v>513</v>
      </c>
    </row>
    <row r="280" spans="1:5" ht="14.25" customHeight="1" x14ac:dyDescent="0.3">
      <c r="A280" s="12">
        <v>43969</v>
      </c>
      <c r="B280" s="7" t="s">
        <v>16</v>
      </c>
      <c r="C280" s="7">
        <v>36</v>
      </c>
      <c r="D280" s="7">
        <v>4885</v>
      </c>
      <c r="E280" s="7">
        <v>4502</v>
      </c>
    </row>
    <row r="281" spans="1:5" ht="14.25" customHeight="1" x14ac:dyDescent="0.3">
      <c r="A281" s="12">
        <v>43969</v>
      </c>
      <c r="B281" s="7" t="s">
        <v>11</v>
      </c>
      <c r="C281" s="7">
        <v>31</v>
      </c>
      <c r="D281" s="7">
        <v>5165</v>
      </c>
      <c r="E281" s="7">
        <v>4813</v>
      </c>
    </row>
    <row r="282" spans="1:5" ht="14.25" customHeight="1" x14ac:dyDescent="0.3">
      <c r="A282" s="12">
        <v>43969</v>
      </c>
      <c r="B282" s="7" t="s">
        <v>17</v>
      </c>
      <c r="C282" s="7">
        <v>21</v>
      </c>
      <c r="D282" s="7">
        <v>2136</v>
      </c>
      <c r="E282" s="7">
        <v>1947</v>
      </c>
    </row>
    <row r="283" spans="1:5" ht="14.25" customHeight="1" x14ac:dyDescent="0.3">
      <c r="A283" s="12">
        <v>43969</v>
      </c>
      <c r="B283" s="7" t="s">
        <v>10</v>
      </c>
      <c r="C283" s="7">
        <v>21</v>
      </c>
      <c r="D283" s="7">
        <v>1834</v>
      </c>
      <c r="E283" s="7">
        <v>1660</v>
      </c>
    </row>
    <row r="284" spans="1:5" ht="14.25" customHeight="1" x14ac:dyDescent="0.3">
      <c r="A284" s="12">
        <v>43969</v>
      </c>
      <c r="B284" s="7" t="s">
        <v>20</v>
      </c>
      <c r="C284" s="7">
        <v>19</v>
      </c>
      <c r="D284" s="7">
        <v>1741</v>
      </c>
      <c r="E284" s="7">
        <v>1597</v>
      </c>
    </row>
    <row r="285" spans="1:5" ht="14.25" customHeight="1" x14ac:dyDescent="0.3">
      <c r="A285" s="12">
        <v>43969</v>
      </c>
      <c r="B285" s="7" t="s">
        <v>22</v>
      </c>
      <c r="C285" s="7">
        <v>54</v>
      </c>
      <c r="D285" s="7">
        <v>12012</v>
      </c>
      <c r="E285" s="7">
        <v>11308</v>
      </c>
    </row>
    <row r="286" spans="1:5" ht="14.25" customHeight="1" x14ac:dyDescent="0.3">
      <c r="A286" s="12">
        <v>43969</v>
      </c>
      <c r="B286" s="7" t="s">
        <v>21</v>
      </c>
      <c r="C286" s="7">
        <v>60</v>
      </c>
      <c r="D286" s="7">
        <v>12460</v>
      </c>
      <c r="E286" s="7">
        <v>11665</v>
      </c>
    </row>
    <row r="287" spans="1:5" ht="14.25" customHeight="1" x14ac:dyDescent="0.3">
      <c r="A287" s="12">
        <v>43969</v>
      </c>
      <c r="B287" s="7" t="s">
        <v>13</v>
      </c>
      <c r="C287" s="7">
        <v>19</v>
      </c>
      <c r="D287" s="7">
        <v>1858</v>
      </c>
      <c r="E287" s="7">
        <v>1648</v>
      </c>
    </row>
    <row r="288" spans="1:5" ht="14.25" customHeight="1" x14ac:dyDescent="0.3">
      <c r="A288" s="12">
        <v>43969</v>
      </c>
      <c r="B288" s="7" t="s">
        <v>23</v>
      </c>
      <c r="C288" s="7">
        <v>16</v>
      </c>
      <c r="D288" s="7">
        <v>864</v>
      </c>
      <c r="E288" s="7">
        <v>765</v>
      </c>
    </row>
    <row r="289" spans="1:5" ht="14.25" customHeight="1" x14ac:dyDescent="0.3">
      <c r="A289" s="12">
        <v>43969</v>
      </c>
      <c r="B289" s="7" t="s">
        <v>18</v>
      </c>
      <c r="C289" s="7">
        <v>16</v>
      </c>
      <c r="D289" s="7">
        <v>925</v>
      </c>
      <c r="E289" s="7">
        <v>816</v>
      </c>
    </row>
    <row r="290" spans="1:5" ht="14.25" customHeight="1" x14ac:dyDescent="0.3">
      <c r="A290" s="12">
        <v>43969</v>
      </c>
      <c r="B290" s="7" t="s">
        <v>19</v>
      </c>
      <c r="C290" s="7">
        <v>15</v>
      </c>
      <c r="D290" s="7">
        <v>729</v>
      </c>
      <c r="E290" s="7">
        <v>636</v>
      </c>
    </row>
    <row r="291" spans="1:5" ht="14.25" customHeight="1" x14ac:dyDescent="0.3">
      <c r="A291" s="12">
        <v>43969</v>
      </c>
      <c r="B291" s="7" t="s">
        <v>15</v>
      </c>
      <c r="C291" s="7">
        <v>125</v>
      </c>
      <c r="D291" s="7">
        <v>20449</v>
      </c>
      <c r="E291" s="7">
        <v>19060</v>
      </c>
    </row>
    <row r="292" spans="1:5" ht="14.25" customHeight="1" x14ac:dyDescent="0.3">
      <c r="A292" s="12">
        <v>43969</v>
      </c>
      <c r="B292" s="7" t="s">
        <v>14</v>
      </c>
      <c r="C292" s="7">
        <v>129</v>
      </c>
      <c r="D292" s="7">
        <v>16110</v>
      </c>
      <c r="E292" s="7">
        <v>14992</v>
      </c>
    </row>
    <row r="293" spans="1:5" ht="14.25" customHeight="1" x14ac:dyDescent="0.3">
      <c r="A293" s="12">
        <v>43969</v>
      </c>
      <c r="B293" s="7" t="s">
        <v>12</v>
      </c>
      <c r="C293" s="7">
        <v>10</v>
      </c>
      <c r="D293" s="7">
        <v>645</v>
      </c>
      <c r="E293" s="7">
        <v>565</v>
      </c>
    </row>
    <row r="294" spans="1:5" ht="14.25" customHeight="1" x14ac:dyDescent="0.3">
      <c r="A294" s="12">
        <v>43970</v>
      </c>
      <c r="B294" s="7" t="s">
        <v>16</v>
      </c>
      <c r="C294" s="7">
        <v>36</v>
      </c>
      <c r="D294" s="7">
        <v>5094</v>
      </c>
      <c r="E294" s="7">
        <v>4716</v>
      </c>
    </row>
    <row r="295" spans="1:5" ht="14.25" customHeight="1" x14ac:dyDescent="0.3">
      <c r="A295" s="12">
        <v>43970</v>
      </c>
      <c r="B295" s="7" t="s">
        <v>11</v>
      </c>
      <c r="C295" s="7">
        <v>31</v>
      </c>
      <c r="D295" s="7">
        <v>5389</v>
      </c>
      <c r="E295" s="7">
        <v>5024</v>
      </c>
    </row>
    <row r="296" spans="1:5" ht="14.25" customHeight="1" x14ac:dyDescent="0.3">
      <c r="A296" s="12">
        <v>43970</v>
      </c>
      <c r="B296" s="7" t="s">
        <v>17</v>
      </c>
      <c r="C296" s="7">
        <v>21</v>
      </c>
      <c r="D296" s="7">
        <v>2245</v>
      </c>
      <c r="E296" s="7">
        <v>2053</v>
      </c>
    </row>
    <row r="297" spans="1:5" ht="14.25" customHeight="1" x14ac:dyDescent="0.3">
      <c r="A297" s="12">
        <v>43970</v>
      </c>
      <c r="B297" s="7" t="s">
        <v>10</v>
      </c>
      <c r="C297" s="7">
        <v>21</v>
      </c>
      <c r="D297" s="7">
        <v>1860</v>
      </c>
      <c r="E297" s="7">
        <v>1704</v>
      </c>
    </row>
    <row r="298" spans="1:5" ht="14.25" customHeight="1" x14ac:dyDescent="0.3">
      <c r="A298" s="12">
        <v>43970</v>
      </c>
      <c r="B298" s="7" t="s">
        <v>20</v>
      </c>
      <c r="C298" s="7">
        <v>19</v>
      </c>
      <c r="D298" s="7">
        <v>1831</v>
      </c>
      <c r="E298" s="7">
        <v>1667</v>
      </c>
    </row>
    <row r="299" spans="1:5" ht="14.25" customHeight="1" x14ac:dyDescent="0.3">
      <c r="A299" s="12">
        <v>43970</v>
      </c>
      <c r="B299" s="7" t="s">
        <v>22</v>
      </c>
      <c r="C299" s="7">
        <v>54</v>
      </c>
      <c r="D299" s="7">
        <v>13070</v>
      </c>
      <c r="E299" s="7">
        <v>12244</v>
      </c>
    </row>
    <row r="300" spans="1:5" ht="14.25" customHeight="1" x14ac:dyDescent="0.3">
      <c r="A300" s="12">
        <v>43970</v>
      </c>
      <c r="B300" s="7" t="s">
        <v>21</v>
      </c>
      <c r="C300" s="7">
        <v>60</v>
      </c>
      <c r="D300" s="7">
        <v>13867</v>
      </c>
      <c r="E300" s="7">
        <v>12987</v>
      </c>
    </row>
    <row r="301" spans="1:5" ht="14.25" customHeight="1" x14ac:dyDescent="0.3">
      <c r="A301" s="12">
        <v>43970</v>
      </c>
      <c r="B301" s="7" t="s">
        <v>13</v>
      </c>
      <c r="C301" s="7">
        <v>19</v>
      </c>
      <c r="D301" s="7">
        <v>1999</v>
      </c>
      <c r="E301" s="7">
        <v>1799</v>
      </c>
    </row>
    <row r="302" spans="1:5" ht="14.25" customHeight="1" x14ac:dyDescent="0.3">
      <c r="A302" s="12">
        <v>43970</v>
      </c>
      <c r="B302" s="7" t="s">
        <v>23</v>
      </c>
      <c r="C302" s="7">
        <v>17</v>
      </c>
      <c r="D302" s="7">
        <v>857</v>
      </c>
      <c r="E302" s="7">
        <v>757</v>
      </c>
    </row>
    <row r="303" spans="1:5" ht="14.25" customHeight="1" x14ac:dyDescent="0.3">
      <c r="A303" s="12">
        <v>43970</v>
      </c>
      <c r="B303" s="7" t="s">
        <v>18</v>
      </c>
      <c r="C303" s="7">
        <v>16</v>
      </c>
      <c r="D303" s="7">
        <v>1012</v>
      </c>
      <c r="E303" s="7">
        <v>900</v>
      </c>
    </row>
    <row r="304" spans="1:5" ht="14.25" customHeight="1" x14ac:dyDescent="0.3">
      <c r="A304" s="12">
        <v>43970</v>
      </c>
      <c r="B304" s="7" t="s">
        <v>19</v>
      </c>
      <c r="C304" s="7">
        <v>15</v>
      </c>
      <c r="D304" s="7">
        <v>930</v>
      </c>
      <c r="E304" s="7">
        <v>827</v>
      </c>
    </row>
    <row r="305" spans="1:5" ht="14.25" customHeight="1" x14ac:dyDescent="0.3">
      <c r="A305" s="12">
        <v>43970</v>
      </c>
      <c r="B305" s="7" t="s">
        <v>15</v>
      </c>
      <c r="C305" s="7">
        <v>125</v>
      </c>
      <c r="D305" s="7">
        <v>20771</v>
      </c>
      <c r="E305" s="7">
        <v>19338</v>
      </c>
    </row>
    <row r="306" spans="1:5" ht="14.25" customHeight="1" x14ac:dyDescent="0.3">
      <c r="A306" s="12">
        <v>43970</v>
      </c>
      <c r="B306" s="7" t="s">
        <v>14</v>
      </c>
      <c r="C306" s="7">
        <v>129</v>
      </c>
      <c r="D306" s="7">
        <v>16191</v>
      </c>
      <c r="E306" s="7">
        <v>15102</v>
      </c>
    </row>
    <row r="307" spans="1:5" ht="14.25" customHeight="1" x14ac:dyDescent="0.3">
      <c r="A307" s="12">
        <v>43970</v>
      </c>
      <c r="B307" s="7" t="s">
        <v>12</v>
      </c>
      <c r="C307" s="7">
        <v>10</v>
      </c>
      <c r="D307" s="7">
        <v>649</v>
      </c>
      <c r="E307" s="7">
        <v>568</v>
      </c>
    </row>
    <row r="308" spans="1:5" ht="14.25" customHeight="1" x14ac:dyDescent="0.3">
      <c r="A308" s="12">
        <v>43971</v>
      </c>
      <c r="B308" s="7" t="s">
        <v>16</v>
      </c>
      <c r="C308" s="7">
        <v>36</v>
      </c>
      <c r="D308" s="7">
        <v>5914</v>
      </c>
      <c r="E308" s="7">
        <v>5384</v>
      </c>
    </row>
    <row r="309" spans="1:5" ht="14.25" customHeight="1" x14ac:dyDescent="0.3">
      <c r="A309" s="12">
        <v>43971</v>
      </c>
      <c r="B309" s="7" t="s">
        <v>11</v>
      </c>
      <c r="C309" s="7">
        <v>31</v>
      </c>
      <c r="D309" s="7">
        <v>5698</v>
      </c>
      <c r="E309" s="7">
        <v>5258</v>
      </c>
    </row>
    <row r="310" spans="1:5" ht="14.25" customHeight="1" x14ac:dyDescent="0.3">
      <c r="A310" s="12">
        <v>43971</v>
      </c>
      <c r="B310" s="7" t="s">
        <v>17</v>
      </c>
      <c r="C310" s="7">
        <v>21</v>
      </c>
      <c r="D310" s="7">
        <v>2410</v>
      </c>
      <c r="E310" s="7">
        <v>2202</v>
      </c>
    </row>
    <row r="311" spans="1:5" ht="14.25" customHeight="1" x14ac:dyDescent="0.3">
      <c r="A311" s="12">
        <v>43971</v>
      </c>
      <c r="B311" s="7" t="s">
        <v>10</v>
      </c>
      <c r="C311" s="7">
        <v>21</v>
      </c>
      <c r="D311" s="7">
        <v>1921</v>
      </c>
      <c r="E311" s="7">
        <v>1767</v>
      </c>
    </row>
    <row r="312" spans="1:5" ht="14.25" customHeight="1" x14ac:dyDescent="0.3">
      <c r="A312" s="12">
        <v>43971</v>
      </c>
      <c r="B312" s="7" t="s">
        <v>20</v>
      </c>
      <c r="C312" s="7">
        <v>19</v>
      </c>
      <c r="D312" s="7">
        <v>1823</v>
      </c>
      <c r="E312" s="7">
        <v>1678</v>
      </c>
    </row>
    <row r="313" spans="1:5" ht="14.25" customHeight="1" x14ac:dyDescent="0.3">
      <c r="A313" s="12">
        <v>43971</v>
      </c>
      <c r="B313" s="7" t="s">
        <v>22</v>
      </c>
      <c r="C313" s="7">
        <v>54</v>
      </c>
      <c r="D313" s="7">
        <v>13298</v>
      </c>
      <c r="E313" s="7">
        <v>12428</v>
      </c>
    </row>
    <row r="314" spans="1:5" ht="14.25" customHeight="1" x14ac:dyDescent="0.3">
      <c r="A314" s="12">
        <v>43971</v>
      </c>
      <c r="B314" s="7" t="s">
        <v>21</v>
      </c>
      <c r="C314" s="7">
        <v>60</v>
      </c>
      <c r="D314" s="7">
        <v>13792</v>
      </c>
      <c r="E314" s="7">
        <v>12834</v>
      </c>
    </row>
    <row r="315" spans="1:5" ht="14.25" customHeight="1" x14ac:dyDescent="0.3">
      <c r="A315" s="12">
        <v>43971</v>
      </c>
      <c r="B315" s="7" t="s">
        <v>13</v>
      </c>
      <c r="C315" s="7">
        <v>19</v>
      </c>
      <c r="D315" s="7">
        <v>1889</v>
      </c>
      <c r="E315" s="7">
        <v>1690</v>
      </c>
    </row>
    <row r="316" spans="1:5" ht="14.25" customHeight="1" x14ac:dyDescent="0.3">
      <c r="A316" s="12">
        <v>43971</v>
      </c>
      <c r="B316" s="7" t="s">
        <v>23</v>
      </c>
      <c r="C316" s="7">
        <v>17</v>
      </c>
      <c r="D316" s="7">
        <v>890</v>
      </c>
      <c r="E316" s="7">
        <v>794</v>
      </c>
    </row>
    <row r="317" spans="1:5" ht="14.25" customHeight="1" x14ac:dyDescent="0.3">
      <c r="A317" s="12">
        <v>43971</v>
      </c>
      <c r="B317" s="7" t="s">
        <v>18</v>
      </c>
      <c r="C317" s="7">
        <v>16</v>
      </c>
      <c r="D317" s="7">
        <v>1050</v>
      </c>
      <c r="E317" s="7">
        <v>938</v>
      </c>
    </row>
    <row r="318" spans="1:5" ht="14.25" customHeight="1" x14ac:dyDescent="0.3">
      <c r="A318" s="12">
        <v>43971</v>
      </c>
      <c r="B318" s="7" t="s">
        <v>19</v>
      </c>
      <c r="C318" s="7">
        <v>15</v>
      </c>
      <c r="D318" s="7">
        <v>760</v>
      </c>
      <c r="E318" s="7">
        <v>664</v>
      </c>
    </row>
    <row r="319" spans="1:5" ht="14.25" customHeight="1" x14ac:dyDescent="0.3">
      <c r="A319" s="12">
        <v>43971</v>
      </c>
      <c r="B319" s="7" t="s">
        <v>15</v>
      </c>
      <c r="C319" s="7">
        <v>125</v>
      </c>
      <c r="D319" s="7">
        <v>21674</v>
      </c>
      <c r="E319" s="7">
        <v>20155</v>
      </c>
    </row>
    <row r="320" spans="1:5" ht="14.25" customHeight="1" x14ac:dyDescent="0.3">
      <c r="A320" s="12">
        <v>43971</v>
      </c>
      <c r="B320" s="7" t="s">
        <v>14</v>
      </c>
      <c r="C320" s="7">
        <v>129</v>
      </c>
      <c r="D320" s="7">
        <v>17095</v>
      </c>
      <c r="E320" s="7">
        <v>15919</v>
      </c>
    </row>
    <row r="321" spans="1:5" ht="14.25" customHeight="1" x14ac:dyDescent="0.3">
      <c r="A321" s="12">
        <v>43971</v>
      </c>
      <c r="B321" s="7" t="s">
        <v>12</v>
      </c>
      <c r="C321" s="7">
        <v>10</v>
      </c>
      <c r="D321" s="7">
        <v>745</v>
      </c>
      <c r="E321" s="7">
        <v>654</v>
      </c>
    </row>
    <row r="322" spans="1:5" ht="14.25" customHeight="1" x14ac:dyDescent="0.3">
      <c r="A322" s="12">
        <v>43972</v>
      </c>
      <c r="B322" s="7" t="s">
        <v>16</v>
      </c>
      <c r="C322" s="7">
        <v>36</v>
      </c>
      <c r="D322" s="7">
        <v>4816</v>
      </c>
      <c r="E322" s="7">
        <v>4452</v>
      </c>
    </row>
    <row r="323" spans="1:5" ht="14.25" customHeight="1" x14ac:dyDescent="0.3">
      <c r="A323" s="12">
        <v>43972</v>
      </c>
      <c r="B323" s="7" t="s">
        <v>11</v>
      </c>
      <c r="C323" s="7">
        <v>31</v>
      </c>
      <c r="D323" s="7">
        <v>5207</v>
      </c>
      <c r="E323" s="7">
        <v>4868</v>
      </c>
    </row>
    <row r="324" spans="1:5" ht="14.25" customHeight="1" x14ac:dyDescent="0.3">
      <c r="A324" s="12">
        <v>43972</v>
      </c>
      <c r="B324" s="7" t="s">
        <v>17</v>
      </c>
      <c r="C324" s="7">
        <v>21</v>
      </c>
      <c r="D324" s="7">
        <v>2335</v>
      </c>
      <c r="E324" s="7">
        <v>2126</v>
      </c>
    </row>
    <row r="325" spans="1:5" ht="14.25" customHeight="1" x14ac:dyDescent="0.3">
      <c r="A325" s="12">
        <v>43972</v>
      </c>
      <c r="B325" s="7" t="s">
        <v>10</v>
      </c>
      <c r="C325" s="7">
        <v>21</v>
      </c>
      <c r="D325" s="7">
        <v>1787</v>
      </c>
      <c r="E325" s="7">
        <v>1626</v>
      </c>
    </row>
    <row r="326" spans="1:5" ht="14.25" customHeight="1" x14ac:dyDescent="0.3">
      <c r="A326" s="12">
        <v>43972</v>
      </c>
      <c r="B326" s="7" t="s">
        <v>20</v>
      </c>
      <c r="C326" s="7">
        <v>19</v>
      </c>
      <c r="D326" s="7">
        <v>1650</v>
      </c>
      <c r="E326" s="7">
        <v>1505</v>
      </c>
    </row>
    <row r="327" spans="1:5" ht="14.25" customHeight="1" x14ac:dyDescent="0.3">
      <c r="A327" s="12">
        <v>43972</v>
      </c>
      <c r="B327" s="7" t="s">
        <v>22</v>
      </c>
      <c r="C327" s="7">
        <v>54</v>
      </c>
      <c r="D327" s="7">
        <v>13240</v>
      </c>
      <c r="E327" s="7">
        <v>12360</v>
      </c>
    </row>
    <row r="328" spans="1:5" ht="14.25" customHeight="1" x14ac:dyDescent="0.3">
      <c r="A328" s="12">
        <v>43972</v>
      </c>
      <c r="B328" s="7" t="s">
        <v>21</v>
      </c>
      <c r="C328" s="7">
        <v>60</v>
      </c>
      <c r="D328" s="7">
        <v>14005</v>
      </c>
      <c r="E328" s="7">
        <v>13002</v>
      </c>
    </row>
    <row r="329" spans="1:5" ht="14.25" customHeight="1" x14ac:dyDescent="0.3">
      <c r="A329" s="12">
        <v>43972</v>
      </c>
      <c r="B329" s="7" t="s">
        <v>13</v>
      </c>
      <c r="C329" s="7">
        <v>19</v>
      </c>
      <c r="D329" s="7">
        <v>1949</v>
      </c>
      <c r="E329" s="7">
        <v>1724</v>
      </c>
    </row>
    <row r="330" spans="1:5" ht="14.25" customHeight="1" x14ac:dyDescent="0.3">
      <c r="A330" s="12">
        <v>43972</v>
      </c>
      <c r="B330" s="7" t="s">
        <v>23</v>
      </c>
      <c r="C330" s="7">
        <v>18</v>
      </c>
      <c r="D330" s="7">
        <v>888</v>
      </c>
      <c r="E330" s="7">
        <v>786</v>
      </c>
    </row>
    <row r="331" spans="1:5" ht="14.25" customHeight="1" x14ac:dyDescent="0.3">
      <c r="A331" s="12">
        <v>43972</v>
      </c>
      <c r="B331" s="7" t="s">
        <v>18</v>
      </c>
      <c r="C331" s="7">
        <v>17</v>
      </c>
      <c r="D331" s="7">
        <v>1045</v>
      </c>
      <c r="E331" s="7">
        <v>930</v>
      </c>
    </row>
    <row r="332" spans="1:5" ht="14.25" customHeight="1" x14ac:dyDescent="0.3">
      <c r="A332" s="12">
        <v>43972</v>
      </c>
      <c r="B332" s="7" t="s">
        <v>19</v>
      </c>
      <c r="C332" s="7">
        <v>15</v>
      </c>
      <c r="D332" s="7">
        <v>749</v>
      </c>
      <c r="E332" s="7">
        <v>652</v>
      </c>
    </row>
    <row r="333" spans="1:5" ht="14.25" customHeight="1" x14ac:dyDescent="0.3">
      <c r="A333" s="12">
        <v>43972</v>
      </c>
      <c r="B333" s="7" t="s">
        <v>15</v>
      </c>
      <c r="C333" s="7">
        <v>125</v>
      </c>
      <c r="D333" s="7">
        <v>20911</v>
      </c>
      <c r="E333" s="7">
        <v>19358</v>
      </c>
    </row>
    <row r="334" spans="1:5" ht="14.25" customHeight="1" x14ac:dyDescent="0.3">
      <c r="A334" s="12">
        <v>43972</v>
      </c>
      <c r="B334" s="7" t="s">
        <v>14</v>
      </c>
      <c r="C334" s="7">
        <v>129</v>
      </c>
      <c r="D334" s="7">
        <v>16373</v>
      </c>
      <c r="E334" s="7">
        <v>15223</v>
      </c>
    </row>
    <row r="335" spans="1:5" ht="14.25" customHeight="1" x14ac:dyDescent="0.3">
      <c r="A335" s="12">
        <v>43972</v>
      </c>
      <c r="B335" s="7" t="s">
        <v>12</v>
      </c>
      <c r="C335" s="7">
        <v>10</v>
      </c>
      <c r="D335" s="7">
        <v>677</v>
      </c>
      <c r="E335" s="7">
        <v>591</v>
      </c>
    </row>
    <row r="336" spans="1:5" ht="14.25" customHeight="1" x14ac:dyDescent="0.3">
      <c r="A336" s="12">
        <v>43973</v>
      </c>
      <c r="B336" s="7" t="s">
        <v>16</v>
      </c>
      <c r="C336" s="7">
        <v>36</v>
      </c>
      <c r="D336" s="7">
        <v>4857</v>
      </c>
      <c r="E336" s="7">
        <v>4456</v>
      </c>
    </row>
    <row r="337" spans="1:5" ht="14.25" customHeight="1" x14ac:dyDescent="0.3">
      <c r="A337" s="12">
        <v>43973</v>
      </c>
      <c r="B337" s="7" t="s">
        <v>11</v>
      </c>
      <c r="C337" s="7">
        <v>31</v>
      </c>
      <c r="D337" s="7">
        <v>5965</v>
      </c>
      <c r="E337" s="7">
        <v>5533</v>
      </c>
    </row>
    <row r="338" spans="1:5" ht="14.25" customHeight="1" x14ac:dyDescent="0.3">
      <c r="A338" s="12">
        <v>43973</v>
      </c>
      <c r="B338" s="7" t="s">
        <v>17</v>
      </c>
      <c r="C338" s="7">
        <v>21</v>
      </c>
      <c r="D338" s="7">
        <v>2861</v>
      </c>
      <c r="E338" s="7">
        <v>2612</v>
      </c>
    </row>
    <row r="339" spans="1:5" ht="14.25" customHeight="1" x14ac:dyDescent="0.3">
      <c r="A339" s="12">
        <v>43973</v>
      </c>
      <c r="B339" s="7" t="s">
        <v>10</v>
      </c>
      <c r="C339" s="7">
        <v>21</v>
      </c>
      <c r="D339" s="7">
        <v>2046</v>
      </c>
      <c r="E339" s="7">
        <v>1853</v>
      </c>
    </row>
    <row r="340" spans="1:5" ht="14.25" customHeight="1" x14ac:dyDescent="0.3">
      <c r="A340" s="12">
        <v>43973</v>
      </c>
      <c r="B340" s="7" t="s">
        <v>20</v>
      </c>
      <c r="C340" s="7">
        <v>19</v>
      </c>
      <c r="D340" s="7">
        <v>1859</v>
      </c>
      <c r="E340" s="7">
        <v>1697</v>
      </c>
    </row>
    <row r="341" spans="1:5" ht="14.25" customHeight="1" x14ac:dyDescent="0.3">
      <c r="A341" s="12">
        <v>43973</v>
      </c>
      <c r="B341" s="7" t="s">
        <v>22</v>
      </c>
      <c r="C341" s="7">
        <v>54</v>
      </c>
      <c r="D341" s="7">
        <v>13014</v>
      </c>
      <c r="E341" s="7">
        <v>12095</v>
      </c>
    </row>
    <row r="342" spans="1:5" ht="14.25" customHeight="1" x14ac:dyDescent="0.3">
      <c r="A342" s="12">
        <v>43973</v>
      </c>
      <c r="B342" s="7" t="s">
        <v>21</v>
      </c>
      <c r="C342" s="7">
        <v>60</v>
      </c>
      <c r="D342" s="7">
        <v>14050</v>
      </c>
      <c r="E342" s="7">
        <v>13027</v>
      </c>
    </row>
    <row r="343" spans="1:5" ht="14.25" customHeight="1" x14ac:dyDescent="0.3">
      <c r="A343" s="12">
        <v>43973</v>
      </c>
      <c r="B343" s="7" t="s">
        <v>13</v>
      </c>
      <c r="C343" s="7">
        <v>20</v>
      </c>
      <c r="D343" s="7">
        <v>2306</v>
      </c>
      <c r="E343" s="7">
        <v>2054</v>
      </c>
    </row>
    <row r="344" spans="1:5" ht="14.25" customHeight="1" x14ac:dyDescent="0.3">
      <c r="A344" s="12">
        <v>43973</v>
      </c>
      <c r="B344" s="7" t="s">
        <v>23</v>
      </c>
      <c r="C344" s="7">
        <v>18</v>
      </c>
      <c r="D344" s="7">
        <v>985</v>
      </c>
      <c r="E344" s="7">
        <v>861</v>
      </c>
    </row>
    <row r="345" spans="1:5" ht="14.25" customHeight="1" x14ac:dyDescent="0.3">
      <c r="A345" s="12">
        <v>43973</v>
      </c>
      <c r="B345" s="7" t="s">
        <v>18</v>
      </c>
      <c r="C345" s="7">
        <v>17</v>
      </c>
      <c r="D345" s="7">
        <v>1268</v>
      </c>
      <c r="E345" s="7">
        <v>1129</v>
      </c>
    </row>
    <row r="346" spans="1:5" ht="14.25" customHeight="1" x14ac:dyDescent="0.3">
      <c r="A346" s="12">
        <v>43973</v>
      </c>
      <c r="B346" s="7" t="s">
        <v>19</v>
      </c>
      <c r="C346" s="7">
        <v>15</v>
      </c>
      <c r="D346" s="7">
        <v>903</v>
      </c>
      <c r="E346" s="7">
        <v>792</v>
      </c>
    </row>
    <row r="347" spans="1:5" ht="14.25" customHeight="1" x14ac:dyDescent="0.3">
      <c r="A347" s="12">
        <v>43973</v>
      </c>
      <c r="B347" s="7" t="s">
        <v>15</v>
      </c>
      <c r="C347" s="7">
        <v>125</v>
      </c>
      <c r="D347" s="7">
        <v>21427</v>
      </c>
      <c r="E347" s="7">
        <v>19799</v>
      </c>
    </row>
    <row r="348" spans="1:5" ht="14.25" customHeight="1" x14ac:dyDescent="0.3">
      <c r="A348" s="12">
        <v>43973</v>
      </c>
      <c r="B348" s="7" t="s">
        <v>14</v>
      </c>
      <c r="C348" s="7">
        <v>129</v>
      </c>
      <c r="D348" s="7">
        <v>17088</v>
      </c>
      <c r="E348" s="7">
        <v>15804</v>
      </c>
    </row>
    <row r="349" spans="1:5" ht="14.25" customHeight="1" x14ac:dyDescent="0.3">
      <c r="A349" s="12">
        <v>43973</v>
      </c>
      <c r="B349" s="7" t="s">
        <v>12</v>
      </c>
      <c r="C349" s="7">
        <v>10</v>
      </c>
      <c r="D349" s="7">
        <v>965</v>
      </c>
      <c r="E349" s="7">
        <v>861</v>
      </c>
    </row>
    <row r="350" spans="1:5" ht="14.25" customHeight="1" x14ac:dyDescent="0.3">
      <c r="A350" s="12">
        <v>43974</v>
      </c>
      <c r="B350" s="7" t="s">
        <v>16</v>
      </c>
      <c r="C350" s="7">
        <v>36</v>
      </c>
      <c r="D350" s="7">
        <v>5651</v>
      </c>
      <c r="E350" s="7">
        <v>5212</v>
      </c>
    </row>
    <row r="351" spans="1:5" ht="14.25" customHeight="1" x14ac:dyDescent="0.3">
      <c r="A351" s="12">
        <v>43974</v>
      </c>
      <c r="B351" s="7" t="s">
        <v>11</v>
      </c>
      <c r="C351" s="7">
        <v>31</v>
      </c>
      <c r="D351" s="7">
        <v>6276</v>
      </c>
      <c r="E351" s="7">
        <v>5801</v>
      </c>
    </row>
    <row r="352" spans="1:5" ht="14.25" customHeight="1" x14ac:dyDescent="0.3">
      <c r="A352" s="12">
        <v>43974</v>
      </c>
      <c r="B352" s="7" t="s">
        <v>17</v>
      </c>
      <c r="C352" s="7">
        <v>21</v>
      </c>
      <c r="D352" s="7">
        <v>2460</v>
      </c>
      <c r="E352" s="7">
        <v>2226</v>
      </c>
    </row>
    <row r="353" spans="1:5" ht="14.25" customHeight="1" x14ac:dyDescent="0.3">
      <c r="A353" s="12">
        <v>43974</v>
      </c>
      <c r="B353" s="7" t="s">
        <v>10</v>
      </c>
      <c r="C353" s="7">
        <v>21</v>
      </c>
      <c r="D353" s="7">
        <v>2340</v>
      </c>
      <c r="E353" s="7">
        <v>2146</v>
      </c>
    </row>
    <row r="354" spans="1:5" ht="14.25" customHeight="1" x14ac:dyDescent="0.3">
      <c r="A354" s="12">
        <v>43974</v>
      </c>
      <c r="B354" s="7" t="s">
        <v>20</v>
      </c>
      <c r="C354" s="7">
        <v>19</v>
      </c>
      <c r="D354" s="7">
        <v>2195</v>
      </c>
      <c r="E354" s="7">
        <v>1999</v>
      </c>
    </row>
    <row r="355" spans="1:5" ht="14.25" customHeight="1" x14ac:dyDescent="0.3">
      <c r="A355" s="12">
        <v>43974</v>
      </c>
      <c r="B355" s="7" t="s">
        <v>22</v>
      </c>
      <c r="C355" s="7">
        <v>54</v>
      </c>
      <c r="D355" s="7">
        <v>16221</v>
      </c>
      <c r="E355" s="7">
        <v>15065</v>
      </c>
    </row>
    <row r="356" spans="1:5" ht="14.25" customHeight="1" x14ac:dyDescent="0.3">
      <c r="A356" s="12">
        <v>43974</v>
      </c>
      <c r="B356" s="7" t="s">
        <v>21</v>
      </c>
      <c r="C356" s="7">
        <v>60</v>
      </c>
      <c r="D356" s="7">
        <v>17295</v>
      </c>
      <c r="E356" s="7">
        <v>16010</v>
      </c>
    </row>
    <row r="357" spans="1:5" ht="14.25" customHeight="1" x14ac:dyDescent="0.3">
      <c r="A357" s="12">
        <v>43974</v>
      </c>
      <c r="B357" s="7" t="s">
        <v>13</v>
      </c>
      <c r="C357" s="7">
        <v>20</v>
      </c>
      <c r="D357" s="7">
        <v>2266</v>
      </c>
      <c r="E357" s="7">
        <v>1993</v>
      </c>
    </row>
    <row r="358" spans="1:5" ht="14.25" customHeight="1" x14ac:dyDescent="0.3">
      <c r="A358" s="12">
        <v>43974</v>
      </c>
      <c r="B358" s="7" t="s">
        <v>23</v>
      </c>
      <c r="C358" s="7">
        <v>18</v>
      </c>
      <c r="D358" s="7">
        <v>1031</v>
      </c>
      <c r="E358" s="7">
        <v>918</v>
      </c>
    </row>
    <row r="359" spans="1:5" ht="14.25" customHeight="1" x14ac:dyDescent="0.3">
      <c r="A359" s="12">
        <v>43974</v>
      </c>
      <c r="B359" s="7" t="s">
        <v>18</v>
      </c>
      <c r="C359" s="7">
        <v>17</v>
      </c>
      <c r="D359" s="7">
        <v>1294</v>
      </c>
      <c r="E359" s="7">
        <v>1155</v>
      </c>
    </row>
    <row r="360" spans="1:5" ht="14.25" customHeight="1" x14ac:dyDescent="0.3">
      <c r="A360" s="12">
        <v>43974</v>
      </c>
      <c r="B360" s="7" t="s">
        <v>19</v>
      </c>
      <c r="C360" s="7">
        <v>15</v>
      </c>
      <c r="D360" s="7">
        <v>840</v>
      </c>
      <c r="E360" s="7">
        <v>725</v>
      </c>
    </row>
    <row r="361" spans="1:5" ht="14.25" customHeight="1" x14ac:dyDescent="0.3">
      <c r="A361" s="12">
        <v>43974</v>
      </c>
      <c r="B361" s="7" t="s">
        <v>15</v>
      </c>
      <c r="C361" s="7">
        <v>125</v>
      </c>
      <c r="D361" s="7">
        <v>24574</v>
      </c>
      <c r="E361" s="7">
        <v>22609</v>
      </c>
    </row>
    <row r="362" spans="1:5" ht="14.25" customHeight="1" x14ac:dyDescent="0.3">
      <c r="A362" s="12">
        <v>43974</v>
      </c>
      <c r="B362" s="7" t="s">
        <v>14</v>
      </c>
      <c r="C362" s="7">
        <v>129</v>
      </c>
      <c r="D362" s="7">
        <v>19856</v>
      </c>
      <c r="E362" s="7">
        <v>18325</v>
      </c>
    </row>
    <row r="363" spans="1:5" ht="14.25" customHeight="1" x14ac:dyDescent="0.3">
      <c r="A363" s="12">
        <v>43974</v>
      </c>
      <c r="B363" s="7" t="s">
        <v>12</v>
      </c>
      <c r="C363" s="7">
        <v>10</v>
      </c>
      <c r="D363" s="7">
        <v>828</v>
      </c>
      <c r="E363" s="7">
        <v>734</v>
      </c>
    </row>
    <row r="364" spans="1:5" ht="14.25" customHeight="1" x14ac:dyDescent="0.3">
      <c r="A364" s="12">
        <v>43975</v>
      </c>
      <c r="B364" s="7" t="s">
        <v>16</v>
      </c>
      <c r="C364" s="7">
        <v>36</v>
      </c>
      <c r="D364" s="7">
        <v>4915</v>
      </c>
      <c r="E364" s="7">
        <v>4562</v>
      </c>
    </row>
    <row r="365" spans="1:5" ht="14.25" customHeight="1" x14ac:dyDescent="0.3">
      <c r="A365" s="12">
        <v>43975</v>
      </c>
      <c r="B365" s="7" t="s">
        <v>11</v>
      </c>
      <c r="C365" s="7">
        <v>31</v>
      </c>
      <c r="D365" s="7">
        <v>5035</v>
      </c>
      <c r="E365" s="7">
        <v>4683</v>
      </c>
    </row>
    <row r="366" spans="1:5" ht="14.25" customHeight="1" x14ac:dyDescent="0.3">
      <c r="A366" s="12">
        <v>43975</v>
      </c>
      <c r="B366" s="7" t="s">
        <v>17</v>
      </c>
      <c r="C366" s="7">
        <v>21</v>
      </c>
      <c r="D366" s="7">
        <v>2254</v>
      </c>
      <c r="E366" s="7">
        <v>2061</v>
      </c>
    </row>
    <row r="367" spans="1:5" ht="14.25" customHeight="1" x14ac:dyDescent="0.3">
      <c r="A367" s="12">
        <v>43975</v>
      </c>
      <c r="B367" s="7" t="s">
        <v>10</v>
      </c>
      <c r="C367" s="7">
        <v>20</v>
      </c>
      <c r="D367" s="7">
        <v>1999</v>
      </c>
      <c r="E367" s="7">
        <v>1829</v>
      </c>
    </row>
    <row r="368" spans="1:5" ht="14.25" customHeight="1" x14ac:dyDescent="0.3">
      <c r="A368" s="12">
        <v>43975</v>
      </c>
      <c r="B368" s="7" t="s">
        <v>20</v>
      </c>
      <c r="C368" s="7">
        <v>19</v>
      </c>
      <c r="D368" s="7">
        <v>1868</v>
      </c>
      <c r="E368" s="7">
        <v>1706</v>
      </c>
    </row>
    <row r="369" spans="1:5" ht="14.25" customHeight="1" x14ac:dyDescent="0.3">
      <c r="A369" s="12">
        <v>43975</v>
      </c>
      <c r="B369" s="7" t="s">
        <v>22</v>
      </c>
      <c r="C369" s="7">
        <v>54</v>
      </c>
      <c r="D369" s="7">
        <v>12211</v>
      </c>
      <c r="E369" s="7">
        <v>11427</v>
      </c>
    </row>
    <row r="370" spans="1:5" ht="14.25" customHeight="1" x14ac:dyDescent="0.3">
      <c r="A370" s="12">
        <v>43975</v>
      </c>
      <c r="B370" s="7" t="s">
        <v>21</v>
      </c>
      <c r="C370" s="7">
        <v>60</v>
      </c>
      <c r="D370" s="7">
        <v>12822</v>
      </c>
      <c r="E370" s="7">
        <v>11916</v>
      </c>
    </row>
    <row r="371" spans="1:5" ht="14.25" customHeight="1" x14ac:dyDescent="0.3">
      <c r="A371" s="12">
        <v>43975</v>
      </c>
      <c r="B371" s="7" t="s">
        <v>13</v>
      </c>
      <c r="C371" s="7">
        <v>20</v>
      </c>
      <c r="D371" s="7">
        <v>2015</v>
      </c>
      <c r="E371" s="7">
        <v>1803</v>
      </c>
    </row>
    <row r="372" spans="1:5" ht="14.25" customHeight="1" x14ac:dyDescent="0.3">
      <c r="A372" s="12">
        <v>43975</v>
      </c>
      <c r="B372" s="7" t="s">
        <v>23</v>
      </c>
      <c r="C372" s="7">
        <v>18</v>
      </c>
      <c r="D372" s="7">
        <v>1006</v>
      </c>
      <c r="E372" s="7">
        <v>904</v>
      </c>
    </row>
    <row r="373" spans="1:5" ht="14.25" customHeight="1" x14ac:dyDescent="0.3">
      <c r="A373" s="12">
        <v>43975</v>
      </c>
      <c r="B373" s="7" t="s">
        <v>18</v>
      </c>
      <c r="C373" s="7">
        <v>17</v>
      </c>
      <c r="D373" s="7">
        <v>1128</v>
      </c>
      <c r="E373" s="7">
        <v>1001</v>
      </c>
    </row>
    <row r="374" spans="1:5" ht="14.25" customHeight="1" x14ac:dyDescent="0.3">
      <c r="A374" s="12">
        <v>43975</v>
      </c>
      <c r="B374" s="7" t="s">
        <v>19</v>
      </c>
      <c r="C374" s="7">
        <v>15</v>
      </c>
      <c r="D374" s="7">
        <v>779</v>
      </c>
      <c r="E374" s="7">
        <v>673</v>
      </c>
    </row>
    <row r="375" spans="1:5" ht="14.25" customHeight="1" x14ac:dyDescent="0.3">
      <c r="A375" s="12">
        <v>43975</v>
      </c>
      <c r="B375" s="7" t="s">
        <v>15</v>
      </c>
      <c r="C375" s="7">
        <v>125</v>
      </c>
      <c r="D375" s="7">
        <v>21004</v>
      </c>
      <c r="E375" s="7">
        <v>19556</v>
      </c>
    </row>
    <row r="376" spans="1:5" ht="14.25" customHeight="1" x14ac:dyDescent="0.3">
      <c r="A376" s="12">
        <v>43975</v>
      </c>
      <c r="B376" s="7" t="s">
        <v>14</v>
      </c>
      <c r="C376" s="7">
        <v>129</v>
      </c>
      <c r="D376" s="7">
        <v>16432</v>
      </c>
      <c r="E376" s="7">
        <v>15345</v>
      </c>
    </row>
    <row r="377" spans="1:5" ht="14.25" customHeight="1" x14ac:dyDescent="0.3">
      <c r="A377" s="12">
        <v>43975</v>
      </c>
      <c r="B377" s="7" t="s">
        <v>12</v>
      </c>
      <c r="C377" s="7">
        <v>10</v>
      </c>
      <c r="D377" s="7">
        <v>639</v>
      </c>
      <c r="E377" s="7">
        <v>557</v>
      </c>
    </row>
    <row r="378" spans="1:5" ht="14.25" customHeight="1" x14ac:dyDescent="0.3">
      <c r="A378" s="12">
        <v>43976</v>
      </c>
      <c r="B378" s="7" t="s">
        <v>16</v>
      </c>
      <c r="C378" s="7">
        <v>36</v>
      </c>
      <c r="D378" s="7">
        <v>4641</v>
      </c>
      <c r="E378" s="7">
        <v>4274</v>
      </c>
    </row>
    <row r="379" spans="1:5" ht="14.25" customHeight="1" x14ac:dyDescent="0.3">
      <c r="A379" s="12">
        <v>43976</v>
      </c>
      <c r="B379" s="7" t="s">
        <v>11</v>
      </c>
      <c r="C379" s="7">
        <v>31</v>
      </c>
      <c r="D379" s="7">
        <v>5210</v>
      </c>
      <c r="E379" s="7">
        <v>4841</v>
      </c>
    </row>
    <row r="380" spans="1:5" ht="14.25" customHeight="1" x14ac:dyDescent="0.3">
      <c r="A380" s="12">
        <v>43976</v>
      </c>
      <c r="B380" s="7" t="s">
        <v>17</v>
      </c>
      <c r="C380" s="7">
        <v>21</v>
      </c>
      <c r="D380" s="7">
        <v>2330</v>
      </c>
      <c r="E380" s="7">
        <v>2142</v>
      </c>
    </row>
    <row r="381" spans="1:5" ht="14.25" customHeight="1" x14ac:dyDescent="0.3">
      <c r="A381" s="12">
        <v>43976</v>
      </c>
      <c r="B381" s="7" t="s">
        <v>10</v>
      </c>
      <c r="C381" s="7">
        <v>20</v>
      </c>
      <c r="D381" s="7">
        <v>2087</v>
      </c>
      <c r="E381" s="7">
        <v>1914</v>
      </c>
    </row>
    <row r="382" spans="1:5" ht="14.25" customHeight="1" x14ac:dyDescent="0.3">
      <c r="A382" s="12">
        <v>43976</v>
      </c>
      <c r="B382" s="7" t="s">
        <v>20</v>
      </c>
      <c r="C382" s="7">
        <v>20</v>
      </c>
      <c r="D382" s="7">
        <v>1899</v>
      </c>
      <c r="E382" s="7">
        <v>1738</v>
      </c>
    </row>
    <row r="383" spans="1:5" ht="14.25" customHeight="1" x14ac:dyDescent="0.3">
      <c r="A383" s="12">
        <v>43976</v>
      </c>
      <c r="B383" s="7" t="s">
        <v>22</v>
      </c>
      <c r="C383" s="7">
        <v>54</v>
      </c>
      <c r="D383" s="7">
        <v>12336</v>
      </c>
      <c r="E383" s="7">
        <v>11519</v>
      </c>
    </row>
    <row r="384" spans="1:5" ht="14.25" customHeight="1" x14ac:dyDescent="0.3">
      <c r="A384" s="12">
        <v>43976</v>
      </c>
      <c r="B384" s="7" t="s">
        <v>21</v>
      </c>
      <c r="C384" s="7">
        <v>59</v>
      </c>
      <c r="D384" s="7">
        <v>12983</v>
      </c>
      <c r="E384" s="7">
        <v>12056</v>
      </c>
    </row>
    <row r="385" spans="1:5" ht="14.25" customHeight="1" x14ac:dyDescent="0.3">
      <c r="A385" s="12">
        <v>43976</v>
      </c>
      <c r="B385" s="7" t="s">
        <v>13</v>
      </c>
      <c r="C385" s="7">
        <v>20</v>
      </c>
      <c r="D385" s="7">
        <v>2011</v>
      </c>
      <c r="E385" s="7">
        <v>1791</v>
      </c>
    </row>
    <row r="386" spans="1:5" ht="14.25" customHeight="1" x14ac:dyDescent="0.3">
      <c r="A386" s="12">
        <v>43976</v>
      </c>
      <c r="B386" s="7" t="s">
        <v>23</v>
      </c>
      <c r="C386" s="7">
        <v>18</v>
      </c>
      <c r="D386" s="7">
        <v>989</v>
      </c>
      <c r="E386" s="7">
        <v>887</v>
      </c>
    </row>
    <row r="387" spans="1:5" ht="14.25" customHeight="1" x14ac:dyDescent="0.3">
      <c r="A387" s="12">
        <v>43976</v>
      </c>
      <c r="B387" s="7" t="s">
        <v>18</v>
      </c>
      <c r="C387" s="7">
        <v>17</v>
      </c>
      <c r="D387" s="7">
        <v>1142</v>
      </c>
      <c r="E387" s="7">
        <v>1020</v>
      </c>
    </row>
    <row r="388" spans="1:5" ht="14.25" customHeight="1" x14ac:dyDescent="0.3">
      <c r="A388" s="12">
        <v>43976</v>
      </c>
      <c r="B388" s="7" t="s">
        <v>19</v>
      </c>
      <c r="C388" s="7">
        <v>15</v>
      </c>
      <c r="D388" s="7">
        <v>835</v>
      </c>
      <c r="E388" s="7">
        <v>736</v>
      </c>
    </row>
    <row r="389" spans="1:5" ht="14.25" customHeight="1" x14ac:dyDescent="0.3">
      <c r="A389" s="12">
        <v>43976</v>
      </c>
      <c r="B389" s="7" t="s">
        <v>15</v>
      </c>
      <c r="C389" s="7">
        <v>124</v>
      </c>
      <c r="D389" s="7">
        <v>20358</v>
      </c>
      <c r="E389" s="7">
        <v>18890</v>
      </c>
    </row>
    <row r="390" spans="1:5" ht="14.25" customHeight="1" x14ac:dyDescent="0.3">
      <c r="A390" s="12">
        <v>43976</v>
      </c>
      <c r="B390" s="7" t="s">
        <v>14</v>
      </c>
      <c r="C390" s="7">
        <v>129</v>
      </c>
      <c r="D390" s="7">
        <v>15822</v>
      </c>
      <c r="E390" s="7">
        <v>14753</v>
      </c>
    </row>
    <row r="391" spans="1:5" ht="14.25" customHeight="1" x14ac:dyDescent="0.3">
      <c r="A391" s="12">
        <v>43976</v>
      </c>
      <c r="B391" s="7" t="s">
        <v>12</v>
      </c>
      <c r="C391" s="7">
        <v>10</v>
      </c>
      <c r="D391" s="7">
        <v>739</v>
      </c>
      <c r="E391" s="7">
        <v>642</v>
      </c>
    </row>
    <row r="392" spans="1:5" ht="14.25" customHeight="1" x14ac:dyDescent="0.3">
      <c r="A392" s="12">
        <v>43977</v>
      </c>
      <c r="B392" s="7" t="s">
        <v>16</v>
      </c>
      <c r="C392" s="7">
        <v>36</v>
      </c>
      <c r="D392" s="7">
        <v>4770</v>
      </c>
      <c r="E392" s="7">
        <v>4424</v>
      </c>
    </row>
    <row r="393" spans="1:5" ht="14.25" customHeight="1" x14ac:dyDescent="0.3">
      <c r="A393" s="12">
        <v>43977</v>
      </c>
      <c r="B393" s="7" t="s">
        <v>11</v>
      </c>
      <c r="C393" s="7">
        <v>31</v>
      </c>
      <c r="D393" s="7">
        <v>5493</v>
      </c>
      <c r="E393" s="7">
        <v>5119</v>
      </c>
    </row>
    <row r="394" spans="1:5" ht="14.25" customHeight="1" x14ac:dyDescent="0.3">
      <c r="A394" s="12">
        <v>43977</v>
      </c>
      <c r="B394" s="7" t="s">
        <v>17</v>
      </c>
      <c r="C394" s="7">
        <v>21</v>
      </c>
      <c r="D394" s="7">
        <v>2418</v>
      </c>
      <c r="E394" s="7">
        <v>2215</v>
      </c>
    </row>
    <row r="395" spans="1:5" ht="14.25" customHeight="1" x14ac:dyDescent="0.3">
      <c r="A395" s="12">
        <v>43977</v>
      </c>
      <c r="B395" s="7" t="s">
        <v>10</v>
      </c>
      <c r="C395" s="7">
        <v>20</v>
      </c>
      <c r="D395" s="7">
        <v>2044</v>
      </c>
      <c r="E395" s="7">
        <v>1863</v>
      </c>
    </row>
    <row r="396" spans="1:5" ht="14.25" customHeight="1" x14ac:dyDescent="0.3">
      <c r="A396" s="12">
        <v>43977</v>
      </c>
      <c r="B396" s="7" t="s">
        <v>20</v>
      </c>
      <c r="C396" s="7">
        <v>20</v>
      </c>
      <c r="D396" s="7">
        <v>1814</v>
      </c>
      <c r="E396" s="7">
        <v>1655</v>
      </c>
    </row>
    <row r="397" spans="1:5" ht="14.25" customHeight="1" x14ac:dyDescent="0.3">
      <c r="A397" s="12">
        <v>43977</v>
      </c>
      <c r="B397" s="7" t="s">
        <v>22</v>
      </c>
      <c r="C397" s="7">
        <v>54</v>
      </c>
      <c r="D397" s="7">
        <v>14482</v>
      </c>
      <c r="E397" s="7">
        <v>13510</v>
      </c>
    </row>
    <row r="398" spans="1:5" ht="14.25" customHeight="1" x14ac:dyDescent="0.3">
      <c r="A398" s="12">
        <v>43977</v>
      </c>
      <c r="B398" s="7" t="s">
        <v>21</v>
      </c>
      <c r="C398" s="7">
        <v>59</v>
      </c>
      <c r="D398" s="7">
        <v>15369</v>
      </c>
      <c r="E398" s="7">
        <v>14299</v>
      </c>
    </row>
    <row r="399" spans="1:5" ht="14.25" customHeight="1" x14ac:dyDescent="0.3">
      <c r="A399" s="12">
        <v>43977</v>
      </c>
      <c r="B399" s="7" t="s">
        <v>13</v>
      </c>
      <c r="C399" s="7">
        <v>20</v>
      </c>
      <c r="D399" s="7">
        <v>2036</v>
      </c>
      <c r="E399" s="7">
        <v>1790</v>
      </c>
    </row>
    <row r="400" spans="1:5" ht="14.25" customHeight="1" x14ac:dyDescent="0.3">
      <c r="A400" s="12">
        <v>43977</v>
      </c>
      <c r="B400" s="7" t="s">
        <v>23</v>
      </c>
      <c r="C400" s="7">
        <v>18</v>
      </c>
      <c r="D400" s="7">
        <v>914</v>
      </c>
      <c r="E400" s="7">
        <v>804</v>
      </c>
    </row>
    <row r="401" spans="1:5" ht="14.25" customHeight="1" x14ac:dyDescent="0.3">
      <c r="A401" s="12">
        <v>43977</v>
      </c>
      <c r="B401" s="7" t="s">
        <v>18</v>
      </c>
      <c r="C401" s="7">
        <v>17</v>
      </c>
      <c r="D401" s="7">
        <v>1140</v>
      </c>
      <c r="E401" s="7">
        <v>1016</v>
      </c>
    </row>
    <row r="402" spans="1:5" ht="14.25" customHeight="1" x14ac:dyDescent="0.3">
      <c r="A402" s="12">
        <v>43977</v>
      </c>
      <c r="B402" s="7" t="s">
        <v>19</v>
      </c>
      <c r="C402" s="7">
        <v>15</v>
      </c>
      <c r="D402" s="7">
        <v>812</v>
      </c>
      <c r="E402" s="7">
        <v>711</v>
      </c>
    </row>
    <row r="403" spans="1:5" ht="14.25" customHeight="1" x14ac:dyDescent="0.3">
      <c r="A403" s="12">
        <v>43977</v>
      </c>
      <c r="B403" s="7" t="s">
        <v>15</v>
      </c>
      <c r="C403" s="7">
        <v>124</v>
      </c>
      <c r="D403" s="7">
        <v>21153</v>
      </c>
      <c r="E403" s="7">
        <v>19673</v>
      </c>
    </row>
    <row r="404" spans="1:5" ht="14.25" customHeight="1" x14ac:dyDescent="0.3">
      <c r="A404" s="12">
        <v>43977</v>
      </c>
      <c r="B404" s="7" t="s">
        <v>14</v>
      </c>
      <c r="C404" s="7">
        <v>129</v>
      </c>
      <c r="D404" s="7">
        <v>16459</v>
      </c>
      <c r="E404" s="7">
        <v>15355</v>
      </c>
    </row>
    <row r="405" spans="1:5" ht="14.25" customHeight="1" x14ac:dyDescent="0.3">
      <c r="A405" s="12">
        <v>43977</v>
      </c>
      <c r="B405" s="7" t="s">
        <v>12</v>
      </c>
      <c r="C405" s="7">
        <v>10</v>
      </c>
      <c r="D405" s="7">
        <v>692</v>
      </c>
      <c r="E405" s="7">
        <v>601</v>
      </c>
    </row>
    <row r="406" spans="1:5" ht="14.25" customHeight="1" x14ac:dyDescent="0.3">
      <c r="A406" s="12">
        <v>43977</v>
      </c>
      <c r="B406" s="7" t="s">
        <v>24</v>
      </c>
      <c r="C406" s="7">
        <v>7</v>
      </c>
      <c r="D406" s="7">
        <v>577</v>
      </c>
      <c r="E406" s="7">
        <v>389</v>
      </c>
    </row>
    <row r="407" spans="1:5" ht="14.25" customHeight="1" x14ac:dyDescent="0.3">
      <c r="A407" s="12">
        <v>43978</v>
      </c>
      <c r="B407" s="7" t="s">
        <v>16</v>
      </c>
      <c r="C407" s="7">
        <v>36</v>
      </c>
      <c r="D407" s="7">
        <v>4951</v>
      </c>
      <c r="E407" s="7">
        <v>4584</v>
      </c>
    </row>
    <row r="408" spans="1:5" ht="14.25" customHeight="1" x14ac:dyDescent="0.3">
      <c r="A408" s="12">
        <v>43978</v>
      </c>
      <c r="B408" s="7" t="s">
        <v>11</v>
      </c>
      <c r="C408" s="7">
        <v>31</v>
      </c>
      <c r="D408" s="7">
        <v>5330</v>
      </c>
      <c r="E408" s="7">
        <v>4977</v>
      </c>
    </row>
    <row r="409" spans="1:5" ht="14.25" customHeight="1" x14ac:dyDescent="0.3">
      <c r="A409" s="12">
        <v>43978</v>
      </c>
      <c r="B409" s="7" t="s">
        <v>17</v>
      </c>
      <c r="C409" s="7">
        <v>21</v>
      </c>
      <c r="D409" s="7">
        <v>2430</v>
      </c>
      <c r="E409" s="7">
        <v>2216</v>
      </c>
    </row>
    <row r="410" spans="1:5" ht="14.25" customHeight="1" x14ac:dyDescent="0.3">
      <c r="A410" s="12">
        <v>43978</v>
      </c>
      <c r="B410" s="7" t="s">
        <v>10</v>
      </c>
      <c r="C410" s="7">
        <v>20</v>
      </c>
      <c r="D410" s="7">
        <v>2079</v>
      </c>
      <c r="E410" s="7">
        <v>1893</v>
      </c>
    </row>
    <row r="411" spans="1:5" ht="14.25" customHeight="1" x14ac:dyDescent="0.3">
      <c r="A411" s="12">
        <v>43978</v>
      </c>
      <c r="B411" s="7" t="s">
        <v>20</v>
      </c>
      <c r="C411" s="7">
        <v>20</v>
      </c>
      <c r="D411" s="7">
        <v>1873</v>
      </c>
      <c r="E411" s="7">
        <v>1715</v>
      </c>
    </row>
    <row r="412" spans="1:5" ht="14.25" customHeight="1" x14ac:dyDescent="0.3">
      <c r="A412" s="12">
        <v>43978</v>
      </c>
      <c r="B412" s="7" t="s">
        <v>22</v>
      </c>
      <c r="C412" s="7">
        <v>54</v>
      </c>
      <c r="D412" s="7">
        <v>13091</v>
      </c>
      <c r="E412" s="7">
        <v>12216</v>
      </c>
    </row>
    <row r="413" spans="1:5" ht="14.25" customHeight="1" x14ac:dyDescent="0.3">
      <c r="A413" s="12">
        <v>43978</v>
      </c>
      <c r="B413" s="7" t="s">
        <v>21</v>
      </c>
      <c r="C413" s="7">
        <v>59</v>
      </c>
      <c r="D413" s="7">
        <v>13942</v>
      </c>
      <c r="E413" s="7">
        <v>12986</v>
      </c>
    </row>
    <row r="414" spans="1:5" ht="14.25" customHeight="1" x14ac:dyDescent="0.3">
      <c r="A414" s="12">
        <v>43978</v>
      </c>
      <c r="B414" s="7" t="s">
        <v>13</v>
      </c>
      <c r="C414" s="7">
        <v>20</v>
      </c>
      <c r="D414" s="7">
        <v>2079</v>
      </c>
      <c r="E414" s="7">
        <v>1856</v>
      </c>
    </row>
    <row r="415" spans="1:5" ht="14.25" customHeight="1" x14ac:dyDescent="0.3">
      <c r="A415" s="12">
        <v>43978</v>
      </c>
      <c r="B415" s="7" t="s">
        <v>23</v>
      </c>
      <c r="C415" s="7">
        <v>18</v>
      </c>
      <c r="D415" s="7">
        <v>962</v>
      </c>
      <c r="E415" s="7">
        <v>859</v>
      </c>
    </row>
    <row r="416" spans="1:5" ht="14.25" customHeight="1" x14ac:dyDescent="0.3">
      <c r="A416" s="12">
        <v>43978</v>
      </c>
      <c r="B416" s="7" t="s">
        <v>18</v>
      </c>
      <c r="C416" s="7">
        <v>17</v>
      </c>
      <c r="D416" s="7">
        <v>1203</v>
      </c>
      <c r="E416" s="7">
        <v>1077</v>
      </c>
    </row>
    <row r="417" spans="1:5" ht="14.25" customHeight="1" x14ac:dyDescent="0.3">
      <c r="A417" s="12">
        <v>43978</v>
      </c>
      <c r="B417" s="7" t="s">
        <v>19</v>
      </c>
      <c r="C417" s="7">
        <v>15</v>
      </c>
      <c r="D417" s="7">
        <v>809</v>
      </c>
      <c r="E417" s="7">
        <v>702</v>
      </c>
    </row>
    <row r="418" spans="1:5" ht="14.25" customHeight="1" x14ac:dyDescent="0.3">
      <c r="A418" s="12">
        <v>43978</v>
      </c>
      <c r="B418" s="7" t="s">
        <v>15</v>
      </c>
      <c r="C418" s="7">
        <v>124</v>
      </c>
      <c r="D418" s="7">
        <v>21384</v>
      </c>
      <c r="E418" s="7">
        <v>19897</v>
      </c>
    </row>
    <row r="419" spans="1:5" ht="14.25" customHeight="1" x14ac:dyDescent="0.3">
      <c r="A419" s="12">
        <v>43978</v>
      </c>
      <c r="B419" s="7" t="s">
        <v>14</v>
      </c>
      <c r="C419" s="7">
        <v>129</v>
      </c>
      <c r="D419" s="7">
        <v>17115</v>
      </c>
      <c r="E419" s="7">
        <v>15962</v>
      </c>
    </row>
    <row r="420" spans="1:5" ht="14.25" customHeight="1" x14ac:dyDescent="0.3">
      <c r="A420" s="12">
        <v>43978</v>
      </c>
      <c r="B420" s="7" t="s">
        <v>12</v>
      </c>
      <c r="C420" s="7">
        <v>10</v>
      </c>
      <c r="D420" s="7">
        <v>757</v>
      </c>
      <c r="E420" s="7">
        <v>660</v>
      </c>
    </row>
    <row r="421" spans="1:5" ht="14.25" customHeight="1" x14ac:dyDescent="0.3">
      <c r="A421" s="12">
        <v>43978</v>
      </c>
      <c r="B421" s="7" t="s">
        <v>24</v>
      </c>
      <c r="C421" s="7">
        <v>7</v>
      </c>
      <c r="D421" s="7">
        <v>409</v>
      </c>
      <c r="E421" s="7">
        <v>329</v>
      </c>
    </row>
    <row r="422" spans="1:5" ht="14.25" customHeight="1" x14ac:dyDescent="0.3">
      <c r="A422" s="12">
        <v>43979</v>
      </c>
      <c r="B422" s="7" t="s">
        <v>16</v>
      </c>
      <c r="C422" s="7">
        <v>37</v>
      </c>
      <c r="D422" s="7">
        <v>4840</v>
      </c>
      <c r="E422" s="7">
        <v>4475</v>
      </c>
    </row>
    <row r="423" spans="1:5" ht="14.25" customHeight="1" x14ac:dyDescent="0.3">
      <c r="A423" s="12">
        <v>43979</v>
      </c>
      <c r="B423" s="7" t="s">
        <v>11</v>
      </c>
      <c r="C423" s="7">
        <v>31</v>
      </c>
      <c r="D423" s="7">
        <v>5355</v>
      </c>
      <c r="E423" s="7">
        <v>4969</v>
      </c>
    </row>
    <row r="424" spans="1:5" ht="14.25" customHeight="1" x14ac:dyDescent="0.3">
      <c r="A424" s="12">
        <v>43979</v>
      </c>
      <c r="B424" s="7" t="s">
        <v>17</v>
      </c>
      <c r="C424" s="7">
        <v>22</v>
      </c>
      <c r="D424" s="7">
        <v>2454</v>
      </c>
      <c r="E424" s="7">
        <v>2239</v>
      </c>
    </row>
    <row r="425" spans="1:5" ht="14.25" customHeight="1" x14ac:dyDescent="0.3">
      <c r="A425" s="12">
        <v>43979</v>
      </c>
      <c r="B425" s="7" t="s">
        <v>10</v>
      </c>
      <c r="C425" s="7">
        <v>20</v>
      </c>
      <c r="D425" s="7">
        <v>1886</v>
      </c>
      <c r="E425" s="7">
        <v>1736</v>
      </c>
    </row>
    <row r="426" spans="1:5" ht="14.25" customHeight="1" x14ac:dyDescent="0.3">
      <c r="A426" s="12">
        <v>43979</v>
      </c>
      <c r="B426" s="7" t="s">
        <v>20</v>
      </c>
      <c r="C426" s="7">
        <v>20</v>
      </c>
      <c r="D426" s="7">
        <v>1875</v>
      </c>
      <c r="E426" s="7">
        <v>1701</v>
      </c>
    </row>
    <row r="427" spans="1:5" ht="14.25" customHeight="1" x14ac:dyDescent="0.3">
      <c r="A427" s="12">
        <v>43979</v>
      </c>
      <c r="B427" s="7" t="s">
        <v>22</v>
      </c>
      <c r="C427" s="7">
        <v>54</v>
      </c>
      <c r="D427" s="7">
        <v>12409</v>
      </c>
      <c r="E427" s="7">
        <v>11582</v>
      </c>
    </row>
    <row r="428" spans="1:5" ht="14.25" customHeight="1" x14ac:dyDescent="0.3">
      <c r="A428" s="12">
        <v>43979</v>
      </c>
      <c r="B428" s="7" t="s">
        <v>21</v>
      </c>
      <c r="C428" s="7">
        <v>60</v>
      </c>
      <c r="D428" s="7">
        <v>12854</v>
      </c>
      <c r="E428" s="7">
        <v>11954</v>
      </c>
    </row>
    <row r="429" spans="1:5" ht="14.25" customHeight="1" x14ac:dyDescent="0.3">
      <c r="A429" s="12">
        <v>43979</v>
      </c>
      <c r="B429" s="7" t="s">
        <v>13</v>
      </c>
      <c r="C429" s="7">
        <v>20</v>
      </c>
      <c r="D429" s="7">
        <v>2088</v>
      </c>
      <c r="E429" s="7">
        <v>1848</v>
      </c>
    </row>
    <row r="430" spans="1:5" ht="14.25" customHeight="1" x14ac:dyDescent="0.3">
      <c r="A430" s="12">
        <v>43979</v>
      </c>
      <c r="B430" s="7" t="s">
        <v>23</v>
      </c>
      <c r="C430" s="7">
        <v>18</v>
      </c>
      <c r="D430" s="7">
        <v>1020</v>
      </c>
      <c r="E430" s="7">
        <v>911</v>
      </c>
    </row>
    <row r="431" spans="1:5" ht="14.25" customHeight="1" x14ac:dyDescent="0.3">
      <c r="A431" s="12">
        <v>43979</v>
      </c>
      <c r="B431" s="7" t="s">
        <v>18</v>
      </c>
      <c r="C431" s="7">
        <v>17</v>
      </c>
      <c r="D431" s="7">
        <v>1097</v>
      </c>
      <c r="E431" s="7">
        <v>968</v>
      </c>
    </row>
    <row r="432" spans="1:5" ht="14.25" customHeight="1" x14ac:dyDescent="0.3">
      <c r="A432" s="12">
        <v>43979</v>
      </c>
      <c r="B432" s="7" t="s">
        <v>19</v>
      </c>
      <c r="C432" s="7">
        <v>16</v>
      </c>
      <c r="D432" s="7">
        <v>876</v>
      </c>
      <c r="E432" s="7">
        <v>762</v>
      </c>
    </row>
    <row r="433" spans="1:5" ht="14.25" customHeight="1" x14ac:dyDescent="0.3">
      <c r="A433" s="12">
        <v>43979</v>
      </c>
      <c r="B433" s="7" t="s">
        <v>9</v>
      </c>
      <c r="C433" s="7">
        <v>15</v>
      </c>
      <c r="D433" s="7">
        <v>464</v>
      </c>
      <c r="E433" s="7">
        <v>390</v>
      </c>
    </row>
    <row r="434" spans="1:5" ht="14.25" customHeight="1" x14ac:dyDescent="0.3">
      <c r="A434" s="12">
        <v>43979</v>
      </c>
      <c r="B434" s="7" t="s">
        <v>15</v>
      </c>
      <c r="C434" s="7">
        <v>124</v>
      </c>
      <c r="D434" s="7">
        <v>20868</v>
      </c>
      <c r="E434" s="7">
        <v>19342</v>
      </c>
    </row>
    <row r="435" spans="1:5" ht="14.25" customHeight="1" x14ac:dyDescent="0.3">
      <c r="A435" s="12">
        <v>43979</v>
      </c>
      <c r="B435" s="7" t="s">
        <v>14</v>
      </c>
      <c r="C435" s="7">
        <v>129</v>
      </c>
      <c r="D435" s="7">
        <v>16453</v>
      </c>
      <c r="E435" s="7">
        <v>15289</v>
      </c>
    </row>
    <row r="436" spans="1:5" ht="14.25" customHeight="1" x14ac:dyDescent="0.3">
      <c r="A436" s="12">
        <v>43979</v>
      </c>
      <c r="B436" s="7" t="s">
        <v>12</v>
      </c>
      <c r="C436" s="7">
        <v>10</v>
      </c>
      <c r="D436" s="7">
        <v>791</v>
      </c>
      <c r="E436" s="7">
        <v>697</v>
      </c>
    </row>
    <row r="437" spans="1:5" ht="14.25" customHeight="1" x14ac:dyDescent="0.3">
      <c r="A437" s="12">
        <v>43979</v>
      </c>
      <c r="B437" s="7" t="s">
        <v>24</v>
      </c>
      <c r="C437" s="7">
        <v>7</v>
      </c>
      <c r="D437" s="7">
        <v>420</v>
      </c>
      <c r="E437" s="7">
        <v>347</v>
      </c>
    </row>
    <row r="438" spans="1:5" ht="14.25" customHeight="1" x14ac:dyDescent="0.3">
      <c r="A438" s="12">
        <v>43980</v>
      </c>
      <c r="B438" s="7" t="s">
        <v>16</v>
      </c>
      <c r="C438" s="7">
        <v>37</v>
      </c>
      <c r="D438" s="7">
        <v>5672</v>
      </c>
      <c r="E438" s="7">
        <v>5198</v>
      </c>
    </row>
    <row r="439" spans="1:5" ht="14.25" customHeight="1" x14ac:dyDescent="0.3">
      <c r="A439" s="12">
        <v>43980</v>
      </c>
      <c r="B439" s="7" t="s">
        <v>11</v>
      </c>
      <c r="C439" s="7">
        <v>31</v>
      </c>
      <c r="D439" s="7">
        <v>5751</v>
      </c>
      <c r="E439" s="7">
        <v>5319</v>
      </c>
    </row>
    <row r="440" spans="1:5" ht="14.25" customHeight="1" x14ac:dyDescent="0.3">
      <c r="A440" s="12">
        <v>43980</v>
      </c>
      <c r="B440" s="7" t="s">
        <v>17</v>
      </c>
      <c r="C440" s="7">
        <v>22</v>
      </c>
      <c r="D440" s="7">
        <v>2597</v>
      </c>
      <c r="E440" s="7">
        <v>2379</v>
      </c>
    </row>
    <row r="441" spans="1:5" ht="14.25" customHeight="1" x14ac:dyDescent="0.3">
      <c r="A441" s="12">
        <v>43980</v>
      </c>
      <c r="B441" s="7" t="s">
        <v>10</v>
      </c>
      <c r="C441" s="7">
        <v>20</v>
      </c>
      <c r="D441" s="7">
        <v>2111</v>
      </c>
      <c r="E441" s="7">
        <v>1917</v>
      </c>
    </row>
    <row r="442" spans="1:5" ht="14.25" customHeight="1" x14ac:dyDescent="0.3">
      <c r="A442" s="12">
        <v>43980</v>
      </c>
      <c r="B442" s="7" t="s">
        <v>20</v>
      </c>
      <c r="C442" s="7">
        <v>20</v>
      </c>
      <c r="D442" s="7">
        <v>2064</v>
      </c>
      <c r="E442" s="7">
        <v>1896</v>
      </c>
    </row>
    <row r="443" spans="1:5" ht="14.25" customHeight="1" x14ac:dyDescent="0.3">
      <c r="A443" s="12">
        <v>43980</v>
      </c>
      <c r="B443" s="7" t="s">
        <v>22</v>
      </c>
      <c r="C443" s="7">
        <v>54</v>
      </c>
      <c r="D443" s="7">
        <v>14031</v>
      </c>
      <c r="E443" s="7">
        <v>12943</v>
      </c>
    </row>
    <row r="444" spans="1:5" ht="14.25" customHeight="1" x14ac:dyDescent="0.3">
      <c r="A444" s="12">
        <v>43980</v>
      </c>
      <c r="B444" s="7" t="s">
        <v>21</v>
      </c>
      <c r="C444" s="7">
        <v>59</v>
      </c>
      <c r="D444" s="7">
        <v>14507</v>
      </c>
      <c r="E444" s="7">
        <v>13386</v>
      </c>
    </row>
    <row r="445" spans="1:5" ht="14.25" customHeight="1" x14ac:dyDescent="0.3">
      <c r="A445" s="12">
        <v>43980</v>
      </c>
      <c r="B445" s="7" t="s">
        <v>13</v>
      </c>
      <c r="C445" s="7">
        <v>20</v>
      </c>
      <c r="D445" s="7">
        <v>2249</v>
      </c>
      <c r="E445" s="7">
        <v>2000</v>
      </c>
    </row>
    <row r="446" spans="1:5" ht="14.25" customHeight="1" x14ac:dyDescent="0.3">
      <c r="A446" s="12">
        <v>43980</v>
      </c>
      <c r="B446" s="7" t="s">
        <v>23</v>
      </c>
      <c r="C446" s="7">
        <v>18</v>
      </c>
      <c r="D446" s="7">
        <v>1014</v>
      </c>
      <c r="E446" s="7">
        <v>893</v>
      </c>
    </row>
    <row r="447" spans="1:5" ht="14.25" customHeight="1" x14ac:dyDescent="0.3">
      <c r="A447" s="12">
        <v>43980</v>
      </c>
      <c r="B447" s="7" t="s">
        <v>18</v>
      </c>
      <c r="C447" s="7">
        <v>17</v>
      </c>
      <c r="D447" s="7">
        <v>1296</v>
      </c>
      <c r="E447" s="7">
        <v>1153</v>
      </c>
    </row>
    <row r="448" spans="1:5" ht="14.25" customHeight="1" x14ac:dyDescent="0.3">
      <c r="A448" s="12">
        <v>43980</v>
      </c>
      <c r="B448" s="7" t="s">
        <v>19</v>
      </c>
      <c r="C448" s="7">
        <v>16</v>
      </c>
      <c r="D448" s="7">
        <v>981</v>
      </c>
      <c r="E448" s="7">
        <v>859</v>
      </c>
    </row>
    <row r="449" spans="1:5" ht="14.25" customHeight="1" x14ac:dyDescent="0.3">
      <c r="A449" s="12">
        <v>43980</v>
      </c>
      <c r="B449" s="7" t="s">
        <v>9</v>
      </c>
      <c r="C449" s="7">
        <v>15</v>
      </c>
      <c r="D449" s="7">
        <v>400</v>
      </c>
      <c r="E449" s="7">
        <v>329</v>
      </c>
    </row>
    <row r="450" spans="1:5" ht="14.25" customHeight="1" x14ac:dyDescent="0.3">
      <c r="A450" s="12">
        <v>43980</v>
      </c>
      <c r="B450" s="7" t="s">
        <v>15</v>
      </c>
      <c r="C450" s="7">
        <v>124</v>
      </c>
      <c r="D450" s="7">
        <v>25828</v>
      </c>
      <c r="E450" s="7">
        <v>23974</v>
      </c>
    </row>
    <row r="451" spans="1:5" ht="14.25" customHeight="1" x14ac:dyDescent="0.3">
      <c r="A451" s="12">
        <v>43980</v>
      </c>
      <c r="B451" s="7" t="s">
        <v>14</v>
      </c>
      <c r="C451" s="7">
        <v>129</v>
      </c>
      <c r="D451" s="7">
        <v>22403</v>
      </c>
      <c r="E451" s="7">
        <v>20676</v>
      </c>
    </row>
    <row r="452" spans="1:5" ht="14.25" customHeight="1" x14ac:dyDescent="0.3">
      <c r="A452" s="12">
        <v>43980</v>
      </c>
      <c r="B452" s="7" t="s">
        <v>12</v>
      </c>
      <c r="C452" s="7">
        <v>10</v>
      </c>
      <c r="D452" s="7">
        <v>873</v>
      </c>
      <c r="E452" s="7">
        <v>770</v>
      </c>
    </row>
    <row r="453" spans="1:5" ht="14.25" customHeight="1" x14ac:dyDescent="0.3">
      <c r="A453" s="12">
        <v>43980</v>
      </c>
      <c r="B453" s="7" t="s">
        <v>24</v>
      </c>
      <c r="C453" s="7">
        <v>7</v>
      </c>
      <c r="D453" s="7">
        <v>491</v>
      </c>
      <c r="E453" s="7">
        <v>411</v>
      </c>
    </row>
    <row r="454" spans="1:5" ht="14.25" customHeight="1" x14ac:dyDescent="0.3">
      <c r="A454" s="12">
        <v>43981</v>
      </c>
      <c r="B454" s="7" t="s">
        <v>16</v>
      </c>
      <c r="C454" s="7">
        <v>37</v>
      </c>
      <c r="D454" s="7">
        <v>6645</v>
      </c>
      <c r="E454" s="7">
        <v>6122</v>
      </c>
    </row>
    <row r="455" spans="1:5" ht="14.25" customHeight="1" x14ac:dyDescent="0.3">
      <c r="A455" s="12">
        <v>43981</v>
      </c>
      <c r="B455" s="7" t="s">
        <v>11</v>
      </c>
      <c r="C455" s="7">
        <v>31</v>
      </c>
      <c r="D455" s="7">
        <v>6735</v>
      </c>
      <c r="E455" s="7">
        <v>6264</v>
      </c>
    </row>
    <row r="456" spans="1:5" ht="14.25" customHeight="1" x14ac:dyDescent="0.3">
      <c r="A456" s="12">
        <v>43981</v>
      </c>
      <c r="B456" s="7" t="s">
        <v>17</v>
      </c>
      <c r="C456" s="7">
        <v>22</v>
      </c>
      <c r="D456" s="7">
        <v>2793</v>
      </c>
      <c r="E456" s="7">
        <v>2539</v>
      </c>
    </row>
    <row r="457" spans="1:5" ht="14.25" customHeight="1" x14ac:dyDescent="0.3">
      <c r="A457" s="12">
        <v>43981</v>
      </c>
      <c r="B457" s="7" t="s">
        <v>10</v>
      </c>
      <c r="C457" s="7">
        <v>20</v>
      </c>
      <c r="D457" s="7">
        <v>2597</v>
      </c>
      <c r="E457" s="7">
        <v>2376</v>
      </c>
    </row>
    <row r="458" spans="1:5" ht="14.25" customHeight="1" x14ac:dyDescent="0.3">
      <c r="A458" s="12">
        <v>43981</v>
      </c>
      <c r="B458" s="7" t="s">
        <v>20</v>
      </c>
      <c r="C458" s="7">
        <v>20</v>
      </c>
      <c r="D458" s="7">
        <v>2174</v>
      </c>
      <c r="E458" s="7">
        <v>1957</v>
      </c>
    </row>
    <row r="459" spans="1:5" ht="14.25" customHeight="1" x14ac:dyDescent="0.3">
      <c r="A459" s="12">
        <v>43981</v>
      </c>
      <c r="B459" s="7" t="s">
        <v>22</v>
      </c>
      <c r="C459" s="7">
        <v>54</v>
      </c>
      <c r="D459" s="7">
        <v>14590</v>
      </c>
      <c r="E459" s="7">
        <v>13551</v>
      </c>
    </row>
    <row r="460" spans="1:5" ht="14.25" customHeight="1" x14ac:dyDescent="0.3">
      <c r="A460" s="12">
        <v>43981</v>
      </c>
      <c r="B460" s="7" t="s">
        <v>21</v>
      </c>
      <c r="C460" s="7">
        <v>59</v>
      </c>
      <c r="D460" s="7">
        <v>15030</v>
      </c>
      <c r="E460" s="7">
        <v>13956</v>
      </c>
    </row>
    <row r="461" spans="1:5" ht="14.25" customHeight="1" x14ac:dyDescent="0.3">
      <c r="A461" s="12">
        <v>43981</v>
      </c>
      <c r="B461" s="7" t="s">
        <v>13</v>
      </c>
      <c r="C461" s="7">
        <v>20</v>
      </c>
      <c r="D461" s="7">
        <v>2451</v>
      </c>
      <c r="E461" s="7">
        <v>2178</v>
      </c>
    </row>
    <row r="462" spans="1:5" ht="14.25" customHeight="1" x14ac:dyDescent="0.3">
      <c r="A462" s="12">
        <v>43981</v>
      </c>
      <c r="B462" s="7" t="s">
        <v>23</v>
      </c>
      <c r="C462" s="7">
        <v>18</v>
      </c>
      <c r="D462" s="7">
        <v>1216</v>
      </c>
      <c r="E462" s="7">
        <v>1101</v>
      </c>
    </row>
    <row r="463" spans="1:5" ht="14.25" customHeight="1" x14ac:dyDescent="0.3">
      <c r="A463" s="12">
        <v>43981</v>
      </c>
      <c r="B463" s="7" t="s">
        <v>18</v>
      </c>
      <c r="C463" s="7">
        <v>17</v>
      </c>
      <c r="D463" s="7">
        <v>1697</v>
      </c>
      <c r="E463" s="7">
        <v>1499</v>
      </c>
    </row>
    <row r="464" spans="1:5" ht="14.25" customHeight="1" x14ac:dyDescent="0.3">
      <c r="A464" s="12">
        <v>43981</v>
      </c>
      <c r="B464" s="7" t="s">
        <v>19</v>
      </c>
      <c r="C464" s="7">
        <v>16</v>
      </c>
      <c r="D464" s="7">
        <v>1048</v>
      </c>
      <c r="E464" s="7">
        <v>918</v>
      </c>
    </row>
    <row r="465" spans="1:5" ht="14.25" customHeight="1" x14ac:dyDescent="0.3">
      <c r="A465" s="12">
        <v>43981</v>
      </c>
      <c r="B465" s="7" t="s">
        <v>9</v>
      </c>
      <c r="C465" s="7">
        <v>15</v>
      </c>
      <c r="D465" s="7">
        <v>490</v>
      </c>
      <c r="E465" s="7">
        <v>409</v>
      </c>
    </row>
    <row r="466" spans="1:5" ht="14.25" customHeight="1" x14ac:dyDescent="0.3">
      <c r="A466" s="12">
        <v>43981</v>
      </c>
      <c r="B466" s="7" t="s">
        <v>15</v>
      </c>
      <c r="C466" s="7">
        <v>124</v>
      </c>
      <c r="D466" s="7">
        <v>24325</v>
      </c>
      <c r="E466" s="7">
        <v>22469</v>
      </c>
    </row>
    <row r="467" spans="1:5" ht="14.25" customHeight="1" x14ac:dyDescent="0.3">
      <c r="A467" s="12">
        <v>43981</v>
      </c>
      <c r="B467" s="7" t="s">
        <v>14</v>
      </c>
      <c r="C467" s="7">
        <v>129</v>
      </c>
      <c r="D467" s="7">
        <v>20243</v>
      </c>
      <c r="E467" s="7">
        <v>18711</v>
      </c>
    </row>
    <row r="468" spans="1:5" ht="14.25" customHeight="1" x14ac:dyDescent="0.3">
      <c r="A468" s="12">
        <v>43981</v>
      </c>
      <c r="B468" s="7" t="s">
        <v>12</v>
      </c>
      <c r="C468" s="7">
        <v>10</v>
      </c>
      <c r="D468" s="7">
        <v>865</v>
      </c>
      <c r="E468" s="7">
        <v>763</v>
      </c>
    </row>
    <row r="469" spans="1:5" ht="14.25" customHeight="1" x14ac:dyDescent="0.3">
      <c r="A469" s="12">
        <v>43981</v>
      </c>
      <c r="B469" s="7" t="s">
        <v>24</v>
      </c>
      <c r="C469" s="7">
        <v>7</v>
      </c>
      <c r="D469" s="7">
        <v>532</v>
      </c>
      <c r="E469" s="7">
        <v>449</v>
      </c>
    </row>
    <row r="470" spans="1:5" ht="14.25" customHeight="1" x14ac:dyDescent="0.3">
      <c r="A470" s="12">
        <v>43982</v>
      </c>
      <c r="B470" s="7" t="s">
        <v>16</v>
      </c>
      <c r="C470" s="7">
        <v>37</v>
      </c>
      <c r="D470" s="7">
        <v>5215</v>
      </c>
      <c r="E470" s="7">
        <v>4848</v>
      </c>
    </row>
    <row r="471" spans="1:5" ht="14.25" customHeight="1" x14ac:dyDescent="0.3">
      <c r="A471" s="12">
        <v>43982</v>
      </c>
      <c r="B471" s="7" t="s">
        <v>11</v>
      </c>
      <c r="C471" s="7">
        <v>31</v>
      </c>
      <c r="D471" s="7">
        <v>5760</v>
      </c>
      <c r="E471" s="7">
        <v>5367</v>
      </c>
    </row>
    <row r="472" spans="1:5" ht="14.25" customHeight="1" x14ac:dyDescent="0.3">
      <c r="A472" s="12">
        <v>43982</v>
      </c>
      <c r="B472" s="7" t="s">
        <v>17</v>
      </c>
      <c r="C472" s="7">
        <v>23</v>
      </c>
      <c r="D472" s="7">
        <v>2522</v>
      </c>
      <c r="E472" s="7">
        <v>2295</v>
      </c>
    </row>
    <row r="473" spans="1:5" ht="14.25" customHeight="1" x14ac:dyDescent="0.3">
      <c r="A473" s="12">
        <v>43982</v>
      </c>
      <c r="B473" s="7" t="s">
        <v>10</v>
      </c>
      <c r="C473" s="7">
        <v>21</v>
      </c>
      <c r="D473" s="7">
        <v>2271</v>
      </c>
      <c r="E473" s="7">
        <v>2085</v>
      </c>
    </row>
    <row r="474" spans="1:5" ht="14.25" customHeight="1" x14ac:dyDescent="0.3">
      <c r="A474" s="12">
        <v>43982</v>
      </c>
      <c r="B474" s="7" t="s">
        <v>20</v>
      </c>
      <c r="C474" s="7">
        <v>21</v>
      </c>
      <c r="D474" s="7">
        <v>2056</v>
      </c>
      <c r="E474" s="7">
        <v>1879</v>
      </c>
    </row>
    <row r="475" spans="1:5" ht="14.25" customHeight="1" x14ac:dyDescent="0.3">
      <c r="A475" s="12">
        <v>43982</v>
      </c>
      <c r="B475" s="7" t="s">
        <v>22</v>
      </c>
      <c r="C475" s="7">
        <v>54</v>
      </c>
      <c r="D475" s="7">
        <v>13106</v>
      </c>
      <c r="E475" s="7">
        <v>12164</v>
      </c>
    </row>
    <row r="476" spans="1:5" ht="14.25" customHeight="1" x14ac:dyDescent="0.3">
      <c r="A476" s="12">
        <v>43982</v>
      </c>
      <c r="B476" s="7" t="s">
        <v>21</v>
      </c>
      <c r="C476" s="7">
        <v>59</v>
      </c>
      <c r="D476" s="7">
        <v>13684</v>
      </c>
      <c r="E476" s="7">
        <v>12690</v>
      </c>
    </row>
    <row r="477" spans="1:5" ht="14.25" customHeight="1" x14ac:dyDescent="0.3">
      <c r="A477" s="12">
        <v>43982</v>
      </c>
      <c r="B477" s="7" t="s">
        <v>13</v>
      </c>
      <c r="C477" s="7">
        <v>20</v>
      </c>
      <c r="D477" s="7">
        <v>2060</v>
      </c>
      <c r="E477" s="7">
        <v>1826</v>
      </c>
    </row>
    <row r="478" spans="1:5" ht="14.25" customHeight="1" x14ac:dyDescent="0.3">
      <c r="A478" s="12">
        <v>43982</v>
      </c>
      <c r="B478" s="7" t="s">
        <v>23</v>
      </c>
      <c r="C478" s="7">
        <v>18</v>
      </c>
      <c r="D478" s="7">
        <v>1029</v>
      </c>
      <c r="E478" s="7">
        <v>925</v>
      </c>
    </row>
    <row r="479" spans="1:5" ht="14.25" customHeight="1" x14ac:dyDescent="0.3">
      <c r="A479" s="12">
        <v>43982</v>
      </c>
      <c r="B479" s="7" t="s">
        <v>18</v>
      </c>
      <c r="C479" s="7">
        <v>17</v>
      </c>
      <c r="D479" s="7">
        <v>1186</v>
      </c>
      <c r="E479" s="7">
        <v>1054</v>
      </c>
    </row>
    <row r="480" spans="1:5" ht="14.25" customHeight="1" x14ac:dyDescent="0.3">
      <c r="A480" s="12">
        <v>43982</v>
      </c>
      <c r="B480" s="7" t="s">
        <v>19</v>
      </c>
      <c r="C480" s="7">
        <v>16</v>
      </c>
      <c r="D480" s="7">
        <v>917</v>
      </c>
      <c r="E480" s="7">
        <v>802</v>
      </c>
    </row>
    <row r="481" spans="1:5" ht="14.25" customHeight="1" x14ac:dyDescent="0.3">
      <c r="A481" s="12">
        <v>43982</v>
      </c>
      <c r="B481" s="7" t="s">
        <v>9</v>
      </c>
      <c r="C481" s="7">
        <v>15</v>
      </c>
      <c r="D481" s="7">
        <v>441</v>
      </c>
      <c r="E481" s="7">
        <v>368</v>
      </c>
    </row>
    <row r="482" spans="1:5" ht="14.25" customHeight="1" x14ac:dyDescent="0.3">
      <c r="A482" s="12">
        <v>43982</v>
      </c>
      <c r="B482" s="7" t="s">
        <v>15</v>
      </c>
      <c r="C482" s="7">
        <v>124</v>
      </c>
      <c r="D482" s="7">
        <v>21392</v>
      </c>
      <c r="E482" s="7">
        <v>19869</v>
      </c>
    </row>
    <row r="483" spans="1:5" ht="14.25" customHeight="1" x14ac:dyDescent="0.3">
      <c r="A483" s="12">
        <v>43982</v>
      </c>
      <c r="B483" s="7" t="s">
        <v>14</v>
      </c>
      <c r="C483" s="7">
        <v>129</v>
      </c>
      <c r="D483" s="7">
        <v>17235</v>
      </c>
      <c r="E483" s="7">
        <v>16052</v>
      </c>
    </row>
    <row r="484" spans="1:5" ht="14.25" customHeight="1" x14ac:dyDescent="0.3">
      <c r="A484" s="12">
        <v>43982</v>
      </c>
      <c r="B484" s="7" t="s">
        <v>12</v>
      </c>
      <c r="C484" s="7">
        <v>10</v>
      </c>
      <c r="D484" s="7">
        <v>749</v>
      </c>
      <c r="E484" s="7">
        <v>655</v>
      </c>
    </row>
    <row r="485" spans="1:5" ht="14.25" customHeight="1" x14ac:dyDescent="0.3">
      <c r="A485" s="12">
        <v>43982</v>
      </c>
      <c r="B485" s="7" t="s">
        <v>25</v>
      </c>
      <c r="C485" s="7">
        <v>9</v>
      </c>
      <c r="D485" s="7">
        <v>345</v>
      </c>
      <c r="E485" s="7">
        <v>255</v>
      </c>
    </row>
    <row r="486" spans="1:5" ht="14.25" customHeight="1" x14ac:dyDescent="0.3">
      <c r="A486" s="12">
        <v>43982</v>
      </c>
      <c r="B486" s="7" t="s">
        <v>24</v>
      </c>
      <c r="C486" s="7">
        <v>7</v>
      </c>
      <c r="D486" s="7">
        <v>530</v>
      </c>
      <c r="E486" s="7">
        <v>447</v>
      </c>
    </row>
    <row r="487" spans="1:5" ht="14.25" customHeight="1" x14ac:dyDescent="0.3">
      <c r="A487" s="12">
        <v>43982</v>
      </c>
      <c r="B487" s="7" t="s">
        <v>26</v>
      </c>
      <c r="C487" s="7">
        <v>6</v>
      </c>
      <c r="D487" s="7">
        <v>261</v>
      </c>
      <c r="E487" s="7">
        <v>188</v>
      </c>
    </row>
    <row r="488" spans="1:5" ht="14.25" customHeight="1" x14ac:dyDescent="0.3">
      <c r="A488" s="12">
        <v>43983</v>
      </c>
      <c r="B488" s="7" t="s">
        <v>16</v>
      </c>
      <c r="C488" s="7">
        <v>37</v>
      </c>
      <c r="D488" s="7">
        <v>4722</v>
      </c>
      <c r="E488" s="7">
        <v>4352</v>
      </c>
    </row>
    <row r="489" spans="1:5" ht="14.25" customHeight="1" x14ac:dyDescent="0.3">
      <c r="A489" s="12">
        <v>43983</v>
      </c>
      <c r="B489" s="7" t="s">
        <v>11</v>
      </c>
      <c r="C489" s="7">
        <v>31</v>
      </c>
      <c r="D489" s="7">
        <v>5468</v>
      </c>
      <c r="E489" s="7">
        <v>5081</v>
      </c>
    </row>
    <row r="490" spans="1:5" ht="14.25" customHeight="1" x14ac:dyDescent="0.3">
      <c r="A490" s="12">
        <v>43983</v>
      </c>
      <c r="B490" s="7" t="s">
        <v>17</v>
      </c>
      <c r="C490" s="7">
        <v>23</v>
      </c>
      <c r="D490" s="7">
        <v>2531</v>
      </c>
      <c r="E490" s="7">
        <v>2296</v>
      </c>
    </row>
    <row r="491" spans="1:5" ht="14.25" customHeight="1" x14ac:dyDescent="0.3">
      <c r="A491" s="12">
        <v>43983</v>
      </c>
      <c r="B491" s="7" t="s">
        <v>10</v>
      </c>
      <c r="C491" s="7">
        <v>21</v>
      </c>
      <c r="D491" s="7">
        <v>2025</v>
      </c>
      <c r="E491" s="7">
        <v>1849</v>
      </c>
    </row>
    <row r="492" spans="1:5" ht="14.25" customHeight="1" x14ac:dyDescent="0.3">
      <c r="A492" s="12">
        <v>43983</v>
      </c>
      <c r="B492" s="7" t="s">
        <v>20</v>
      </c>
      <c r="C492" s="7">
        <v>21</v>
      </c>
      <c r="D492" s="7">
        <v>1879</v>
      </c>
      <c r="E492" s="7">
        <v>1720</v>
      </c>
    </row>
    <row r="493" spans="1:5" ht="14.25" customHeight="1" x14ac:dyDescent="0.3">
      <c r="A493" s="12">
        <v>43983</v>
      </c>
      <c r="B493" s="7" t="s">
        <v>22</v>
      </c>
      <c r="C493" s="7">
        <v>54</v>
      </c>
      <c r="D493" s="7">
        <v>11864</v>
      </c>
      <c r="E493" s="7">
        <v>11071</v>
      </c>
    </row>
    <row r="494" spans="1:5" ht="14.25" customHeight="1" x14ac:dyDescent="0.3">
      <c r="A494" s="12">
        <v>43983</v>
      </c>
      <c r="B494" s="7" t="s">
        <v>21</v>
      </c>
      <c r="C494" s="7">
        <v>59</v>
      </c>
      <c r="D494" s="7">
        <v>12299</v>
      </c>
      <c r="E494" s="7">
        <v>11448</v>
      </c>
    </row>
    <row r="495" spans="1:5" ht="14.25" customHeight="1" x14ac:dyDescent="0.3">
      <c r="A495" s="12">
        <v>43983</v>
      </c>
      <c r="B495" s="7" t="s">
        <v>13</v>
      </c>
      <c r="C495" s="7">
        <v>20</v>
      </c>
      <c r="D495" s="7">
        <v>2136</v>
      </c>
      <c r="E495" s="7">
        <v>1899</v>
      </c>
    </row>
    <row r="496" spans="1:5" ht="14.25" customHeight="1" x14ac:dyDescent="0.3">
      <c r="A496" s="12">
        <v>43983</v>
      </c>
      <c r="B496" s="7" t="s">
        <v>23</v>
      </c>
      <c r="C496" s="7">
        <v>18</v>
      </c>
      <c r="D496" s="7">
        <v>923</v>
      </c>
      <c r="E496" s="7">
        <v>824</v>
      </c>
    </row>
    <row r="497" spans="1:5" ht="14.25" customHeight="1" x14ac:dyDescent="0.3">
      <c r="A497" s="12">
        <v>43983</v>
      </c>
      <c r="B497" s="7" t="s">
        <v>18</v>
      </c>
      <c r="C497" s="7">
        <v>17</v>
      </c>
      <c r="D497" s="7">
        <v>1185</v>
      </c>
      <c r="E497" s="7">
        <v>1042</v>
      </c>
    </row>
    <row r="498" spans="1:5" ht="14.25" customHeight="1" x14ac:dyDescent="0.3">
      <c r="A498" s="12">
        <v>43983</v>
      </c>
      <c r="B498" s="7" t="s">
        <v>19</v>
      </c>
      <c r="C498" s="7">
        <v>16</v>
      </c>
      <c r="D498" s="7">
        <v>1019</v>
      </c>
      <c r="E498" s="7">
        <v>895</v>
      </c>
    </row>
    <row r="499" spans="1:5" ht="14.25" customHeight="1" x14ac:dyDescent="0.3">
      <c r="A499" s="12">
        <v>43983</v>
      </c>
      <c r="B499" s="7" t="s">
        <v>9</v>
      </c>
      <c r="C499" s="7">
        <v>15</v>
      </c>
      <c r="D499" s="7">
        <v>453</v>
      </c>
      <c r="E499" s="7">
        <v>370</v>
      </c>
    </row>
    <row r="500" spans="1:5" ht="14.25" customHeight="1" x14ac:dyDescent="0.3">
      <c r="A500" s="12">
        <v>43983</v>
      </c>
      <c r="B500" s="7" t="s">
        <v>15</v>
      </c>
      <c r="C500" s="7">
        <v>123</v>
      </c>
      <c r="D500" s="7">
        <v>20325</v>
      </c>
      <c r="E500" s="7">
        <v>18935</v>
      </c>
    </row>
    <row r="501" spans="1:5" ht="14.25" customHeight="1" x14ac:dyDescent="0.3">
      <c r="A501" s="12">
        <v>43983</v>
      </c>
      <c r="B501" s="7" t="s">
        <v>14</v>
      </c>
      <c r="C501" s="7">
        <v>128</v>
      </c>
      <c r="D501" s="7">
        <v>16285</v>
      </c>
      <c r="E501" s="7">
        <v>15130</v>
      </c>
    </row>
    <row r="502" spans="1:5" ht="14.25" customHeight="1" x14ac:dyDescent="0.3">
      <c r="A502" s="12">
        <v>43983</v>
      </c>
      <c r="B502" s="7" t="s">
        <v>12</v>
      </c>
      <c r="C502" s="7">
        <v>10</v>
      </c>
      <c r="D502" s="7">
        <v>719</v>
      </c>
      <c r="E502" s="7">
        <v>627</v>
      </c>
    </row>
    <row r="503" spans="1:5" ht="14.25" customHeight="1" x14ac:dyDescent="0.3">
      <c r="A503" s="12">
        <v>43983</v>
      </c>
      <c r="B503" s="7" t="s">
        <v>25</v>
      </c>
      <c r="C503" s="7">
        <v>9</v>
      </c>
      <c r="D503" s="7">
        <v>294</v>
      </c>
      <c r="E503" s="7">
        <v>224</v>
      </c>
    </row>
    <row r="504" spans="1:5" ht="14.25" customHeight="1" x14ac:dyDescent="0.3">
      <c r="A504" s="12">
        <v>43983</v>
      </c>
      <c r="B504" s="7" t="s">
        <v>24</v>
      </c>
      <c r="C504" s="7">
        <v>7</v>
      </c>
      <c r="D504" s="7">
        <v>500</v>
      </c>
      <c r="E504" s="7">
        <v>418</v>
      </c>
    </row>
    <row r="505" spans="1:5" ht="14.25" customHeight="1" x14ac:dyDescent="0.3">
      <c r="A505" s="12">
        <v>43983</v>
      </c>
      <c r="B505" s="7" t="s">
        <v>26</v>
      </c>
      <c r="C505" s="7">
        <v>6</v>
      </c>
      <c r="D505" s="7">
        <v>237</v>
      </c>
      <c r="E505" s="7">
        <v>175</v>
      </c>
    </row>
    <row r="506" spans="1:5" ht="14.25" customHeight="1" x14ac:dyDescent="0.3"/>
    <row r="507" spans="1:5" ht="14.25" customHeight="1" x14ac:dyDescent="0.3"/>
    <row r="508" spans="1:5" ht="14.25" customHeight="1" x14ac:dyDescent="0.3"/>
    <row r="509" spans="1:5" ht="14.25" customHeight="1" x14ac:dyDescent="0.3"/>
    <row r="510" spans="1:5" ht="14.25" customHeight="1" x14ac:dyDescent="0.3"/>
    <row r="511" spans="1:5" ht="14.25" customHeight="1" x14ac:dyDescent="0.3"/>
    <row r="512" spans="1:5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E505" xr:uid="{00000000-0001-0000-01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общая таблица</vt:lpstr>
      <vt:lpstr>Топ 3 за последнюю неделю</vt:lpstr>
      <vt:lpstr>Топ 3 в доле товарооборота</vt:lpstr>
      <vt:lpstr>Понедельная динамика_</vt:lpstr>
      <vt:lpstr>График товарооборота на склад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Назира Андабаева</cp:lastModifiedBy>
  <dcterms:created xsi:type="dcterms:W3CDTF">2021-09-13T10:17:58Z</dcterms:created>
  <dcterms:modified xsi:type="dcterms:W3CDTF">2026-04-29T16:50:40Z</dcterms:modified>
</cp:coreProperties>
</file>